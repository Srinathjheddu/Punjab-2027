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Final Assesment" sheetId="2" r:id="rId6"/>
    <sheet state="visible" name="117 Battles " sheetId="3" r:id="rId7"/>
    <sheet state="visible" name="Top Battlegrounds" sheetId="4" r:id="rId8"/>
    <sheet state="visible" name="Assembly Trajectories" sheetId="5" r:id="rId9"/>
    <sheet state="visible" name="Assembly Competitiveness" sheetId="6" r:id="rId10"/>
    <sheet state="visible" name="Assembly Volatality" sheetId="7" r:id="rId11"/>
    <sheet state="visible" name="Political Geography" sheetId="8" r:id="rId12"/>
    <sheet state="visible" name="Party Social Coalitions" sheetId="9" r:id="rId13"/>
    <sheet state="visible" name="Voter Groups" sheetId="10" r:id="rId14"/>
    <sheet state="visible" name="Issues" sheetId="11" r:id="rId15"/>
    <sheet state="visible" name="Party wise Performance" sheetId="12" r:id="rId16"/>
    <sheet state="visible" name="2022 Assembly" sheetId="13" r:id="rId17"/>
    <sheet state="visible" name="2017 Assembly" sheetId="14" r:id="rId18"/>
    <sheet state="visible" name="2024 LS" sheetId="15" r:id="rId19"/>
    <sheet state="visible" name="2019 LS" sheetId="16" r:id="rId20"/>
    <sheet state="visible" name="LS Segments" sheetId="17" r:id="rId21"/>
  </sheets>
  <definedNames/>
  <calcPr/>
</workbook>
</file>

<file path=xl/sharedStrings.xml><?xml version="1.0" encoding="utf-8"?>
<sst xmlns="http://schemas.openxmlformats.org/spreadsheetml/2006/main" count="7366" uniqueCount="1539">
  <si>
    <t>PUNJAB 2027 FINAL ASSESSMENT</t>
  </si>
  <si>
    <t xml:space="preserve">TOP 20 STRATEGIC BATTLEGROUNDS </t>
  </si>
  <si>
    <t xml:space="preserve">2027 BATTLEFIELD MAP </t>
  </si>
  <si>
    <t>EARLY 2027 STRUCTURAL CLASSIFICATION</t>
  </si>
  <si>
    <t>Party/Force</t>
  </si>
  <si>
    <t>Rank</t>
  </si>
  <si>
    <t>Classification</t>
  </si>
  <si>
    <t>AC</t>
  </si>
  <si>
    <t>Seat</t>
  </si>
  <si>
    <t>Region</t>
  </si>
  <si>
    <t>Evidence for classification</t>
  </si>
  <si>
    <t>Current incumbent</t>
  </si>
  <si>
    <t>Current</t>
  </si>
  <si>
    <t>2017 AE</t>
  </si>
  <si>
    <t>Structural advantage</t>
  </si>
  <si>
    <t>2022 AE</t>
  </si>
  <si>
    <t>2022 Runner-up</t>
  </si>
  <si>
    <t>Structural disadvantage</t>
  </si>
  <si>
    <t>2022 Margin%</t>
  </si>
  <si>
    <t>What would upgrade classification</t>
  </si>
  <si>
    <t>2024 LS Diagnostic</t>
  </si>
  <si>
    <t>What would downgrade classification</t>
  </si>
  <si>
    <t>ACI</t>
  </si>
  <si>
    <t>Confidence</t>
  </si>
  <si>
    <t>AVI</t>
  </si>
  <si>
    <t>Class</t>
  </si>
  <si>
    <r>
      <rPr>
        <rFont val="Carlito"/>
        <b/>
        <color theme="1"/>
      </rPr>
      <t>What each category means:</t>
    </r>
    <r>
      <rPr>
        <rFont val="Carlito"/>
        <b val="0"/>
        <color theme="1"/>
      </rPr>
      <t xml:space="preserve">
</t>
    </r>
    <r>
      <rPr>
        <rFont val="Carlito"/>
        <b/>
        <color theme="1"/>
      </rPr>
      <t>Stronghold:</t>
    </r>
    <r>
      <rPr>
        <rFont val="Carlito"/>
        <b val="0"/>
        <color theme="1"/>
      </rPr>
      <t xml:space="preserve"> Safe, dominant seat. The incumbent party has won consistently with wide margins and low competition.
</t>
    </r>
    <r>
      <rPr>
        <rFont val="Carlito"/>
        <b/>
        <color theme="1"/>
      </rPr>
      <t>Lean:</t>
    </r>
    <r>
      <rPr>
        <rFont val="Carlito"/>
        <b val="0"/>
        <color theme="1"/>
      </rPr>
      <t xml:space="preserve"> Incumbent holds an advantage, with low-to-moderate competition and steady support.
</t>
    </r>
    <r>
      <rPr>
        <rFont val="Carlito"/>
        <b/>
        <color theme="1"/>
      </rPr>
      <t>Battleground:</t>
    </r>
    <r>
      <rPr>
        <rFont val="Carlito"/>
        <b val="0"/>
        <color theme="1"/>
      </rPr>
      <t xml:space="preserve"> Evenly balanced contest / toss-up where neither party has a clear structural buffer.
</t>
    </r>
    <r>
      <rPr>
        <rFont val="Carlito"/>
        <b/>
        <color theme="1"/>
      </rPr>
      <t>Opposition Lean:</t>
    </r>
    <r>
      <rPr>
        <rFont val="Carlito"/>
        <b val="0"/>
        <color theme="1"/>
      </rPr>
      <t xml:space="preserve"> The incumbent is under severe pressure; the primary challenger has won multiple recent elections here.
</t>
    </r>
    <r>
      <rPr>
        <rFont val="Carlito"/>
        <b/>
        <color theme="1"/>
      </rPr>
      <t xml:space="preserve">Highly Volatile: </t>
    </r>
    <r>
      <rPr>
        <rFont val="Carlito"/>
        <b val="0"/>
        <color theme="1"/>
      </rPr>
      <t xml:space="preserve">Unstable seat with frequent party turnovers across election cycles or sharp voter swings.
</t>
    </r>
    <r>
      <rPr>
        <rFont val="Carlito"/>
        <b/>
        <color theme="1"/>
      </rPr>
      <t xml:space="preserve">Example: </t>
    </r>
    <r>
      <rPr>
        <rFont val="Carlito"/>
        <b val="0"/>
        <color theme="1"/>
      </rPr>
      <t>Sujanpur Result: Opposition Lean (Incumbent INC faces strong challenger BJP, who won the 2017 Assembly and 2024 Lok Sabha segment).</t>
    </r>
  </si>
  <si>
    <t>Primary Challenger</t>
  </si>
  <si>
    <t>Recent Assembly Update</t>
  </si>
  <si>
    <t>Social context</t>
  </si>
  <si>
    <t>Issue context</t>
  </si>
  <si>
    <t>Relevance</t>
  </si>
  <si>
    <t>AAP</t>
  </si>
  <si>
    <t>Frontrunner (structural)</t>
  </si>
  <si>
    <t>Dakha</t>
  </si>
  <si>
    <t>Malwa</t>
  </si>
  <si>
    <t>District</t>
  </si>
  <si>
    <t>94 formal MLAs,strongest recent local-body performance,Mann,welfare and statewide organisation;2024 LS correction secondary.</t>
  </si>
  <si>
    <t>Incumbency + ground network + largest current Assembly base</t>
  </si>
  <si>
    <t>High-salience governance burden and coalition erosion; ticket/elite issues</t>
  </si>
  <si>
    <t>2019 LS Historical</t>
  </si>
  <si>
    <t>Sustained Assembly polling lead + welfare satisfaction + Malwa retention evidence</t>
  </si>
  <si>
    <t>Broad anti-incumbency + Congress consolidation + Malwa erosion</t>
  </si>
  <si>
    <t>Medium-High</t>
  </si>
  <si>
    <t>Combined</t>
  </si>
  <si>
    <t>INC</t>
  </si>
  <si>
    <t>Strong Challenger</t>
  </si>
  <si>
    <t>2024 Stress?</t>
  </si>
  <si>
    <t>16 MLAs,deep candidate/organisation network and current Congress coordination effort;7 MPs/37 LS segments secondary parliamentary evidence.</t>
  </si>
  <si>
    <t xml:space="preserve">INC </t>
  </si>
  <si>
    <t>Broad social/regional acceptability and experienced candidates</t>
  </si>
  <si>
    <t>SAD</t>
  </si>
  <si>
    <t>Factionalism; only16 MLAs and huge Malwa gap from2022</t>
  </si>
  <si>
    <t>BJP</t>
  </si>
  <si>
    <t>Leadership unity + strong Malwa polling/organisation</t>
  </si>
  <si>
    <t>Factional split/rebels + BJP/SAD/WPD fragment anti-AAP vote</t>
  </si>
  <si>
    <t>Multi-cornered</t>
  </si>
  <si>
    <t>Competitive / Expanding</t>
  </si>
  <si>
    <t>2 MLAs,expanding civic/urban+booth network,new recruits;18.56% LS/23 segments secondary diagnostics.</t>
  </si>
  <si>
    <t>Sujanpur</t>
  </si>
  <si>
    <t>Pathankot</t>
  </si>
  <si>
    <t>Majha</t>
  </si>
  <si>
    <t>Largest expansion headroom and national resources</t>
  </si>
  <si>
    <t>Naresh Puri</t>
  </si>
  <si>
    <t>Rural/Sikh/farmer ceiling and vote concentration</t>
  </si>
  <si>
    <t>Strong rural candidates/polling + Assembly conversion in mixed seats</t>
  </si>
  <si>
    <t>Rural rejection persists and Centre-farmer/federal issues dominate</t>
  </si>
  <si>
    <t>Medium</t>
  </si>
  <si>
    <t>Recovering Regional Force</t>
  </si>
  <si>
    <t>3 formal MLAs but narrower aligned footprint;rural local-body residue,Bathinda/Panthic networks;2024 LS weakness secondary.</t>
  </si>
  <si>
    <t>Historic cadre/regional identity</t>
  </si>
  <si>
    <t>13.42% LS vote, defections, Badal/sacrilege baggage, WPD competition</t>
  </si>
  <si>
    <t>Vote stabilisation + leader/cadre returns + credible reform/alliance clarity</t>
  </si>
  <si>
    <t>More defections + WPD scales + rural vote shifts to INC/AAP</t>
  </si>
  <si>
    <t>BSP</t>
  </si>
  <si>
    <t>Regional / Niche Spoiler</t>
  </si>
  <si>
    <t>Distinct Doaba/social-justice cadre,1 MLA and local organisation;LS evidence secondary.</t>
  </si>
  <si>
    <t>Ideological/cadre distinctiveness in selected SC-heavy seats</t>
  </si>
  <si>
    <t>Low recent statewide conversion and heterogeneous Dalit vote</t>
  </si>
  <si>
    <t>Strong candidates + measurable Doaba vote growth</t>
  </si>
  <si>
    <t>Continued low single-digit share and tactical shift to larger parties</t>
  </si>
  <si>
    <t>WPD / Panthic Independents</t>
  </si>
  <si>
    <t>Emerging Regional Force / Spoiler</t>
  </si>
  <si>
    <t>Two independent MPs+Panthic/candidate networks;15 LS segments disruption diagnostic,not statewide AE baseline.</t>
  </si>
  <si>
    <t>Authentic alternative Panthic/candidate energy</t>
  </si>
  <si>
    <t>Registration/organisation/scalability and legal/personal constraints</t>
  </si>
  <si>
    <t>Formal organisation + credible multi-district candidates + issue breadth</t>
  </si>
  <si>
    <t>Support stays personal/local and factions split</t>
  </si>
  <si>
    <t>Low-Medium statewide / High local</t>
  </si>
  <si>
    <t>FINAL PARTY MATRIX</t>
  </si>
  <si>
    <t>Party</t>
  </si>
  <si>
    <t>Base</t>
  </si>
  <si>
    <t>Must Retain</t>
  </si>
  <si>
    <t>Growth Opportunity</t>
  </si>
  <si>
    <t>Biggest Threat</t>
  </si>
  <si>
    <t>Key Region</t>
  </si>
  <si>
    <t>Key Political Problem</t>
  </si>
  <si>
    <t>Path to Victory</t>
  </si>
  <si>
    <t>Large Assembly/local-body base; 2022 cross-group coalition; welfare; Mann</t>
  </si>
  <si>
    <t>Malwa + sufficient Doaba/Majha + organisational incumbency</t>
  </si>
  <si>
    <t>Recover 2024-adverse seats through Assembly reversion/candidate reset; exploit opposition fragmentation</t>
  </si>
  <si>
    <t>Cross-group anti-incumbency consolidation and multiple local rebellions</t>
  </si>
  <si>
    <t>Convert incumbency from liability into delivery credibility while managing jobs/drugs/farmer/law-order grievances</t>
  </si>
  <si>
    <t>Contain losses from current94 formal seats, preserve broad-enough coalition and prevent one opposition pole from dominating.</t>
  </si>
  <si>
    <t>Majha/Doaba parliamentary strength; broad anti-AAP coalition; candidate bench</t>
  </si>
  <si>
    <t>2024 MPs/segments, current MLAs, OBC/Dalit/candidate coalition</t>
  </si>
  <si>
    <t>Large Malwa conversion from AAP-held Assembly-first competitive seats</t>
  </si>
  <si>
    <t>Factionalism and BJP/SAD/WPD splitting opposition</t>
  </si>
  <si>
    <t>Turn broad but distributed leadership into one campaign and one ticket machine</t>
  </si>
  <si>
    <t>Retain Majha/Doaba + make major Malwa gains + become principal anti-AAP option.</t>
  </si>
  <si>
    <t>Residual rural/Panthic/Jat Sikh cadre and Bathinda-Malwa networks</t>
  </si>
  <si>
    <t>Existing cadre/pockets and remaining trust</t>
  </si>
  <si>
    <t>AAP rural dissatisfaction; lower winning thresholds; possible alliance complement</t>
  </si>
  <si>
    <t>WPD/Panthic fragmentation, Badal legacy, defections and urban loss to BJP</t>
  </si>
  <si>
    <t>Re-establish why SAD is uniquely relevant before asking voters to return</t>
  </si>
  <si>
    <t>Restore credibility/core, add a non-core/urban leg, rebuild Malwa seat conversion and reduce splinter competition.</t>
  </si>
  <si>
    <t>Urban Hindu/trader/MSME core;2024 standalone voters; national resources</t>
  </si>
  <si>
    <t>Urban core and new recruits</t>
  </si>
  <si>
    <t>Test whether2024 urban/parliamentary support can be reproduced in Assembly contests through viable local candidates,booths and mixed-seat coalitions.</t>
  </si>
  <si>
    <t>Rural/Sikh/farmer ceiling; Centre-state/federal liabilities; vote concentration</t>
  </si>
  <si>
    <t>Urban nodes across all three regions, then rural bridge</t>
  </si>
  <si>
    <t>Turn a high but concentrated vote into constituency-scale coalitions</t>
  </si>
  <si>
    <t>Convert urban base → build local candidates/booths → gain enough rural/Sikh credibility → exploit multi-cornered pluralities.</t>
  </si>
  <si>
    <t>Doaba cadre/social-justice pockets</t>
  </si>
  <si>
    <t>Core organisation and viable SC-heavy seats</t>
  </si>
  <si>
    <t>Selective reserved-seat growth</t>
  </si>
  <si>
    <t>Low conversion, tactical voting to larger parties</t>
  </si>
  <si>
    <t>Doaba</t>
  </si>
  <si>
    <t>Translate distinct identity into credible local candidates, not demographic arithmetic</t>
  </si>
  <si>
    <t>Build multiple seat wins and broader coalition first; current evidence is not government-scale.</t>
  </si>
  <si>
    <t>WPD / Emerging</t>
  </si>
  <si>
    <t>Khadoor/Faridkot/selected Panthic networks; personal mandates</t>
  </si>
  <si>
    <t>Candidate strongholds and organisational nodes</t>
  </si>
  <si>
    <t>SAD weakness/Panthic vacuum and high-volatility seats</t>
  </si>
  <si>
    <t>Personality dependence, registration/scalability, mutual fragmentation</t>
  </si>
  <si>
    <t>Majha first; selected Malwa area</t>
  </si>
  <si>
    <t>Build an organisation and governance proposition larger than individual leaders</t>
  </si>
  <si>
    <t>Formalise → field credible multi-seat slate → broaden beyond Panthic protest; government-scale path remains unproven.</t>
  </si>
  <si>
    <t>MLA elected SAD joined WPD; formal / legal membership differs</t>
  </si>
  <si>
    <t>Jat Sikh farmers, agricultural labour/SC communities, OBC groups, youth/migration-linked households</t>
  </si>
  <si>
    <t>agriculture/MSP, farm income/debt, jobs/migration, drugs</t>
  </si>
  <si>
    <t>No.</t>
  </si>
  <si>
    <t>DATA</t>
  </si>
  <si>
    <t>TREND</t>
  </si>
  <si>
    <t>WHY</t>
  </si>
  <si>
    <t>WHO / WHERE</t>
  </si>
  <si>
    <t>ELECTORAL IMPACT</t>
  </si>
  <si>
    <t>2027 IMPLICATION</t>
  </si>
  <si>
    <t>Gidderbaha</t>
  </si>
  <si>
    <t>YES</t>
  </si>
  <si>
    <t>AAP:92 Assembly seats in2022; only33 LS-segment leads in2024; then strong2025/26 local-body performance.</t>
  </si>
  <si>
    <t>AAP's coalition weakened at parliamentary level but organisation did not collapse.</t>
  </si>
  <si>
    <t>2022 was a broad change wave;2024 fragmented that coalition across INC/BJP/IND/SAD, while sub-state incumbency networks remained intact.</t>
  </si>
  <si>
    <t>Malwa AAP base; Majha warning; Doaba competitive; welfare/local-office-holder networks statewide.</t>
  </si>
  <si>
    <t>LS swing cannot be directly projected onto Assembly seats.</t>
  </si>
  <si>
    <t>The key AAP question is coalition retention and Assembly-vs-LS reversion-not whether2024 erased2022.</t>
  </si>
  <si>
    <t>INC:77 seats2017 →18 in2022 →7 MPs/37 LS-segment leads2024.</t>
  </si>
  <si>
    <t>Congress can collapse and recover quickly because its support is broad but leadership/candidate dependent.</t>
  </si>
  <si>
    <t>Amarinder anchored2017/19; factional churn hurt2022; strong candidates and broad social acceptability aided2024.</t>
  </si>
  <si>
    <t>Majha/Doaba strongest; Malwa is growth frontier.</t>
  </si>
  <si>
    <t>Congress has the clearest opposition government path but also the largest organisational conversion challenge.</t>
  </si>
  <si>
    <t>Watch unity and Malwa seat-level organisation more than national/statewide vote share alone.</t>
  </si>
  <si>
    <t>Malwa contains69/117 seats; AAP won66 in2022 but led24 LS segments2024.</t>
  </si>
  <si>
    <t>Punjab's largest region moved from AAP near-monopoly to multi-party fragmentation.</t>
  </si>
  <si>
    <t>Mann/change/farm-youth coalition drove2022; Congress/SAD/BJP/IND regained different pockets in2024.</t>
  </si>
  <si>
    <t>Rural farmer/labour/youth seats plus Ludhiana/Bathinda/Abohar urban-industrial nodes.</t>
  </si>
  <si>
    <t>A small regional movement can change dozens of Assembly seats.</t>
  </si>
  <si>
    <t>No party forms a stable majority coalition without a serious Malwa strategy.</t>
  </si>
  <si>
    <t>Majha2024 LS segments: INC10, BJP6, IND6, AAP2, SAD1.</t>
  </si>
  <si>
    <t>Majha is the most politically fragmented region.</t>
  </si>
  <si>
    <t>Border/security, Panthic politics, farm issues, urban Hindu pockets and candidate networks activate differently by election type.</t>
  </si>
  <si>
    <t>Amritsar-Gurdaspur-Tarn Taran/Pathankot belt.</t>
  </si>
  <si>
    <t>Statewide swings can break into four/five different local contests here.</t>
  </si>
  <si>
    <t>Majha is the best stress-test for any claim of a simple statewide wave.</t>
  </si>
  <si>
    <t>Assembly:AAP23.72%2017→42.01%2022. Parliamentary diagnostic:7.38%2019→26.02%2024.</t>
  </si>
  <si>
    <t>Election-type movement can differ radically.</t>
  </si>
  <si>
    <t>2019 weak AAP LS preceded2022 Assembly landslide;2024 therefore cannot be read as2027 seat map.</t>
  </si>
  <si>
    <t>Statewide;especially AAP-held seats where2024 differed.</t>
  </si>
  <si>
    <t>LS identifies coalition stress,not Assembly vulnerability by itself.</t>
  </si>
  <si>
    <t>Build2027 from2022/current Assembly evidence,then use2024 to ask where coalition stressed.</t>
  </si>
  <si>
    <t>Assembly:SAD25.24%2017→18.38%2022. Parliamentary diagnostic:27.45%2019→13.42%2024; rural local-body footprint persists.</t>
  </si>
  <si>
    <t>SAD weakened in both election types but organisation has not disappeared.</t>
  </si>
  <si>
    <t>Assembly decline,credibility costs,lost BJP complement and Panthic fragmentation.</t>
  </si>
  <si>
    <t>Bathinda-Malwa rural/Panthic pockets.</t>
  </si>
  <si>
    <t>Can affect close seats without statewide-power scale.</t>
  </si>
  <si>
    <t>Track Assembly/current cadre conversion and WPD competition.</t>
  </si>
  <si>
    <t>Assembly:BJP5.39%2017→6.60%2022. Parliamentary diagnostic:9.63%2019 alliance-limited→18.56%2024 standalone.</t>
  </si>
  <si>
    <t>Parliamentary expansion faster than Assembly conversion.</t>
  </si>
  <si>
    <t>Alliance structure changed and support remains urban/semiurban concentrated.</t>
  </si>
  <si>
    <t>Urban nodes across three regions.</t>
  </si>
  <si>
    <t>High LS vote can yield few MLAs if candidates/rural reach weak.</t>
  </si>
  <si>
    <t>Measure Assembly viability through runner-up position,ACI/AVI,civic/booth strength and rural bridge.</t>
  </si>
  <si>
    <t>Two independent MPs +15 independent-led LS segments in2024; WPD later gained Ayali and district/youth structures.</t>
  </si>
  <si>
    <t>Panthic protest now has an electoral channel outside SAD.</t>
  </si>
  <si>
    <t>SAD credibility crisis created a vacuum; charismatic candidates converted it locally.</t>
  </si>
  <si>
    <t>Khadoor/Tarn Taran/Faridkot and selected Malwa.</t>
  </si>
  <si>
    <t>Emerging candidates can change margins and issue salience even with limited statewide organisation.</t>
  </si>
  <si>
    <t>The question is scalability: candidate mandates must become booths, candidates and a broader governance agenda.</t>
  </si>
  <si>
    <t>Youth unemployment22.3% Apr-Jun2026; migration widespread; drugs/farmer/law-order remain high salience; AAP welfare remains large.</t>
  </si>
  <si>
    <t>2027 can simultaneously contain anti-incumbency and beneficiary retention.</t>
  </si>
  <si>
    <t>Households evaluate multiple issues; Centre/state blame is split; material welfare can coexist with dissatisfaction.</t>
  </si>
  <si>
    <t>Youth, farm households, women, employees, urban business and migration-linked families statewide.</t>
  </si>
  <si>
    <t>No single issue guarantees a uniform swing; issue mix determines which coalition component moves.</t>
  </si>
  <si>
    <t>War room should track issue attribution and beneficiary satisfaction, not just issue importance.</t>
  </si>
  <si>
    <t>Revised Phase5 model now weights 2022 Assembly/current Assembly evidence far above 2019/2024 Lok Sabha signals.</t>
  </si>
  <si>
    <t>Seat intelligence shifts from four-election chronology to election-type relevance.</t>
  </si>
  <si>
    <t>2019 showed that a weak LS result can be followed by an Assembly landslide; 2024 is better interpreted as coalition fragmentation/stress rather than an Assembly seat map.</t>
  </si>
  <si>
    <t>All117 seats, especially AAP-held seats where 2024 LS pointed elsewhere.</t>
  </si>
  <si>
    <t>Candidate, incumbency, organisation and Assembly-specific voter return become more important than parliamentary segment leads.</t>
  </si>
  <si>
    <t>Use 2019 for history, 2024 for coalition stress, and build the 2027 battlefield primarily from 2022 Assembly + current organisation/issues + recent Assembly tests.</t>
  </si>
  <si>
    <t>2024 bypoll - AAP gain from INC</t>
  </si>
  <si>
    <t>Banga</t>
  </si>
  <si>
    <t>MLA elected SAD joined AAP; formal / legal membership differs</t>
  </si>
  <si>
    <t>SC/Dalit voters (internally diverse); OBC Sikh, Jat Sikh, urban/trader and diaspora-linked households</t>
  </si>
  <si>
    <t>agriculture/MSP, farm income/debt, jobs/migration, drugs, welfare, representation, education/employment</t>
  </si>
  <si>
    <t>Jalandhar Central</t>
  </si>
  <si>
    <t>Bhoa</t>
  </si>
  <si>
    <t>Lal Chand</t>
  </si>
  <si>
    <t>OBC Sikh, Jat Sikh, urban/trader and diaspora-linked households; urban Hindu/trader/MSME and workers</t>
  </si>
  <si>
    <t>jobs, law/order, MSME, power/infrastructure, welfare, representation, education/employment</t>
  </si>
  <si>
    <t>Ludhiana West</t>
  </si>
  <si>
    <t>2025 bypoll - AAP retained</t>
  </si>
  <si>
    <t>Jat Sikh farmers, agricultural labour/SC communities, OBC groups, youth/migration-linked households; urban Hindu/trader/MSME and workers</t>
  </si>
  <si>
    <t>jobs, law/order, MSME, power/infrastructure</t>
  </si>
  <si>
    <t>DASHBOARD</t>
  </si>
  <si>
    <t>Ashwani Kumar Sharma</t>
  </si>
  <si>
    <t>Constituency Battlefield Class</t>
  </si>
  <si>
    <t>Seats</t>
  </si>
  <si>
    <t>Stronghold</t>
  </si>
  <si>
    <t>Lean</t>
  </si>
  <si>
    <t>Battleground</t>
  </si>
  <si>
    <t>Opposition Lean</t>
  </si>
  <si>
    <t>Highly Volatile</t>
  </si>
  <si>
    <t>SC/Dalit voters (internally diverse); Jat Sikh/farm households, Panthic/OBC groups</t>
  </si>
  <si>
    <t>agriculture/MSP, farm income/debt, jobs/migration, drugs, border security/smuggling, welfare, representation, education/employment</t>
  </si>
  <si>
    <t>Nakodar</t>
  </si>
  <si>
    <t>2027 Party-wise Strategic Posture as of September 2026</t>
  </si>
  <si>
    <t>Defend</t>
  </si>
  <si>
    <t>Expand</t>
  </si>
  <si>
    <t>Long Shot</t>
  </si>
  <si>
    <t>Party currently has a meaningful position/hold that needs protecting</t>
  </si>
  <si>
    <t>Party has a credible competitive pathway</t>
  </si>
  <si>
    <t>Opposition held seat where evidence suggests potential growth</t>
  </si>
  <si>
    <t>Current evidence does not show a strong near term pathway</t>
  </si>
  <si>
    <t>Gurdaspur</t>
  </si>
  <si>
    <t>Barindermeet Singh Pahra</t>
  </si>
  <si>
    <t>OBC Sikh, Jat Sikh, urban/trader and diaspora-linked households</t>
  </si>
  <si>
    <t>Chabbewal</t>
  </si>
  <si>
    <t>Phagwara</t>
  </si>
  <si>
    <t>Dina Nagar</t>
  </si>
  <si>
    <t>Aruna Chaudhary</t>
  </si>
  <si>
    <t>SC/Dalit voters (internally diverse); OBC Sikh, Jat Sikh, urban/trader and diaspora-linked households; urban Hindu/trader/MSME and workers</t>
  </si>
  <si>
    <t>Dera Baba Nanak</t>
  </si>
  <si>
    <t>Qadian</t>
  </si>
  <si>
    <t>Partap Singh Bajwa</t>
  </si>
  <si>
    <t>Jat Sikh/farm households, Panthic/OBC groups</t>
  </si>
  <si>
    <t>Batala</t>
  </si>
  <si>
    <t>agriculture/MSP, farm income/debt, jobs/migration, drugs, border security/smuggling</t>
  </si>
  <si>
    <t>Amansher Singh (Shery Kalsi)</t>
  </si>
  <si>
    <t>Nawan Shahr</t>
  </si>
  <si>
    <t>Sri Hargobindpur</t>
  </si>
  <si>
    <t>Amarpal Singh</t>
  </si>
  <si>
    <t>Amritsar East</t>
  </si>
  <si>
    <t>Fatehgarh Churian</t>
  </si>
  <si>
    <t>Tript Rajinder Singh Bajwa</t>
  </si>
  <si>
    <t>Jat Sikh/farm households, Panthic/OBC groups; urban Hindu/trader/MSME and workers</t>
  </si>
  <si>
    <t>jobs, law/order, MSME, power/infrastructure, border security/smuggling</t>
  </si>
  <si>
    <t>Kartarpur</t>
  </si>
  <si>
    <t>Gurdeep Singh Randhawa</t>
  </si>
  <si>
    <t>2024 bypoll
 AAP gain from INC</t>
  </si>
  <si>
    <t>Abohar</t>
  </si>
  <si>
    <t>Ajnala</t>
  </si>
  <si>
    <t>Amritsar</t>
  </si>
  <si>
    <t>Kuldeep Singh Dhaliwal</t>
  </si>
  <si>
    <t>Jalandhar West</t>
  </si>
  <si>
    <t>Urmar</t>
  </si>
  <si>
    <t>Raja Sansi</t>
  </si>
  <si>
    <t>Sukhbinder Singh Sarkaria</t>
  </si>
  <si>
    <t>Balachaur</t>
  </si>
  <si>
    <t>Majitha</t>
  </si>
  <si>
    <t>Ganieve Kaur Majithia</t>
  </si>
  <si>
    <t>Dalit / SC Population, Kandi / Sub-Mountainous Demographics, diaspora-linked households; urban Hindu/trader/MSME and workers</t>
  </si>
  <si>
    <t>Jandiala</t>
  </si>
  <si>
    <t>Core Strategic Problem</t>
  </si>
  <si>
    <t>Priority Actionables</t>
  </si>
  <si>
    <t>Harbhajan Singh E.T.O.</t>
  </si>
  <si>
    <t>Protect a very large but exposed incumbent footprint</t>
  </si>
  <si>
    <t>EMERGING</t>
  </si>
  <si>
    <t>Governance delivery 
Candidate correction 
Manage internal rebellion 
Protect Malwa organisational strength 
Track high-risk seats</t>
  </si>
  <si>
    <t>Convert opposition opportunity into Assembly seats</t>
  </si>
  <si>
    <t>Resolve factionalism 
Build Malwa organisation 
Candidate-first seat planning 
Activate booth network 
Present concrete policy alternatives</t>
  </si>
  <si>
    <t>Convert expanded vote presence into constituencies</t>
  </si>
  <si>
    <t>Build seat-level organisation 
Expand rural credibility 
Integrate new recruits 
Clarify alliance structure 
Strengthen Punjab-specific leadership</t>
  </si>
  <si>
    <t>Rebuild credibility and electoral relevance</t>
  </si>
  <si>
    <t>Political renewal 
Stabilise cadre/candidates 
Manage Panthic fragmentation 
Clarify alliance strategy 
Rebuild urban complement</t>
  </si>
  <si>
    <t>Emerging</t>
  </si>
  <si>
    <t>Convert local influence into durable organisation</t>
  </si>
  <si>
    <t>Concentrate on organisational depth
Credible candidates 
Formalise structures 
Demonstrate multi-seat scalability</t>
  </si>
  <si>
    <t>Structural indicator</t>
  </si>
  <si>
    <t>Phase 4 equal-weight analyst score /10</t>
  </si>
  <si>
    <t>Amritsar North</t>
  </si>
  <si>
    <t>Kunwar Vijay Pratap Singh</t>
  </si>
  <si>
    <t>Formal Assembly MLAs</t>
  </si>
  <si>
    <t>Ludhiana Central</t>
  </si>
  <si>
    <t>Current aligned seats used</t>
  </si>
  <si>
    <t>2024 LS seats (diagnostic)</t>
  </si>
  <si>
    <t>2024 LS vote share % (diagnostic)</t>
  </si>
  <si>
    <t>2025 Zila Parishad zones</t>
  </si>
  <si>
    <t>May 2026 civic wards</t>
  </si>
  <si>
    <t>Assembly 2017,2022 - Taken as Main
LokSabha 2019, 2024 - Mid-term stress testing</t>
  </si>
  <si>
    <t>Category</t>
  </si>
  <si>
    <t xml:space="preserve">Tab Name </t>
  </si>
  <si>
    <t>Description &amp; Scope</t>
  </si>
  <si>
    <t>Constituency Analysis</t>
  </si>
  <si>
    <t>Amritsar West</t>
  </si>
  <si>
    <t>Dr. Jasbir Singh Sandhu</t>
  </si>
  <si>
    <t>117 Battles</t>
  </si>
  <si>
    <t>Comprehensive seat-by-seat classification, challenger scores, and party dynamics across all 117 ACs
Seat strength and projections</t>
  </si>
  <si>
    <t>Top Battlegrounds</t>
  </si>
  <si>
    <t>SC/Dalit voters (internally diverse); Jat Sikh farmers, agricultural labour/SC communities, OBC groups, youth/migration-linked households; urban Hindu/trader/MSME and workers</t>
  </si>
  <si>
    <t>Sahnewal</t>
  </si>
  <si>
    <t>Deep dive into the 20 most competitive seats, margins, and key local drivers</t>
  </si>
  <si>
    <t>Assembly Competitiveness</t>
  </si>
  <si>
    <t>Assembly Competitiveness Index (ACI), closeness metrics, and margin turbulence</t>
  </si>
  <si>
    <t>Assembly Volatality</t>
  </si>
  <si>
    <t>Electoral Volatility Index (AVI), turnover scores, and seat volatility classification</t>
  </si>
  <si>
    <t>Assembly Trajectories</t>
  </si>
  <si>
    <t>Historical trajectory comparison across 2017 &amp; 2022 AE vs 2019 &amp; 2024 LS</t>
  </si>
  <si>
    <t>Strategic Assessment</t>
  </si>
  <si>
    <t>Party wise Performance</t>
  </si>
  <si>
    <t>Historical election performance, vote shares, seat shares, and swings</t>
  </si>
  <si>
    <t>Party Social Coalitions</t>
  </si>
  <si>
    <t>Amritsar Central</t>
  </si>
  <si>
    <t>Social base, caste matrix, and coalition breakdown across major political parties</t>
  </si>
  <si>
    <t>Ajay Gupta</t>
  </si>
  <si>
    <t>Political Geography</t>
  </si>
  <si>
    <t>Regional breakdown across Malwa, Majha, Doaba, Urban, and Rural Punjab</t>
  </si>
  <si>
    <t>Voter Groups</t>
  </si>
  <si>
    <t>Key demographic and socio-economic voter segments, concerns, and party alignment</t>
  </si>
  <si>
    <t>Issues</t>
  </si>
  <si>
    <t>Salience, severity, and political risk mapping of key state and local issues</t>
  </si>
  <si>
    <t>Final Assesment</t>
  </si>
  <si>
    <t>Strategic SWOT, paths to victory, and structural party classifications for 2027</t>
  </si>
  <si>
    <t>Historical Elections</t>
  </si>
  <si>
    <t>2024 LS</t>
  </si>
  <si>
    <t>2024 Parliamentary election constituency-level results, vote shares, and margins</t>
  </si>
  <si>
    <t>Jat Sikh farmers, agricultural labour/SC communities, OBC groups, youth/migration-linked households; urban Hindu/trader/MSME owners and industrial/migrant workers.</t>
  </si>
  <si>
    <t>agriculture/MSP, farm income/debt, jobs/migration, drugs, law/order, MSME, power/infrastructure</t>
  </si>
  <si>
    <t>2022 Assembly</t>
  </si>
  <si>
    <t>2022 Assembly election constituency results, winning margins, and turnout</t>
  </si>
  <si>
    <t>2019 LS</t>
  </si>
  <si>
    <t>2019 Parliamentary election constituency results, winner votes, and leads</t>
  </si>
  <si>
    <t>2017 Assembly</t>
  </si>
  <si>
    <t>2017 Assembly election baseline results, seat distributions, and margins</t>
  </si>
  <si>
    <t>LS Segments</t>
  </si>
  <si>
    <t>Assembly constituency segment-level analysis of Lok Sabha voting patterns</t>
  </si>
  <si>
    <t>Jeevan Jyot Kaur</t>
  </si>
  <si>
    <t>Term</t>
  </si>
  <si>
    <t>One-line definition</t>
  </si>
  <si>
    <t>Example</t>
  </si>
  <si>
    <t>2019 LS (Historical)</t>
  </si>
  <si>
    <t>Party that received the highest votes within that Assembly segment during the 2019 Lok Sabha election; used only as a historical multi-cycle reference.</t>
  </si>
  <si>
    <t>Sujanpur: BJP led the Assembly segment in 2019.</t>
  </si>
  <si>
    <t>2024 LS (Diagnostic)</t>
  </si>
  <si>
    <t>Party that led the Assembly segment in the 2024 Lok Sabha election; used as a mid-term diagnostic of political movement after 2022.</t>
  </si>
  <si>
    <t>Batala: AAP won the 2022 Assembly seat, but INC led the segment in 2024.</t>
  </si>
  <si>
    <t>2017 → 2022 Turnover</t>
  </si>
  <si>
    <t>Indicates whether the winning party of an Assembly constituency changed between the 2017 and 2022 Assembly elections.</t>
  </si>
  <si>
    <t>Batala: SAD in 2017 → AAP in 2022 = Turnover.</t>
  </si>
  <si>
    <t>Margin Change</t>
  </si>
  <si>
    <t>Difference between the 2022 and 2017 victory margins, showing whether the winning cushion expanded or contracted.</t>
  </si>
  <si>
    <t>Sujanpur: 3.61% − 15.04% = −11.43 pp, meaning the seat became tighter.</t>
  </si>
  <si>
    <t>Margin Turbulence</t>
  </si>
  <si>
    <t>0-100 score measuring how sharply the victory margin changed between the 2017 and 2022 Assembly elections.</t>
  </si>
  <si>
    <t>Batala: Margin changed from 0.40% to 22.44% → Turbulence 88.16.</t>
  </si>
  <si>
    <t>Turnout Movement</t>
  </si>
  <si>
    <t>0-100 score measuring the magnitude of change in voter turnout between the 2017 and 2022 Assembly elections.</t>
  </si>
  <si>
    <t>Ajnala: Turnout changed by 5.05 pp → Turnout Movement 50.5.</t>
  </si>
  <si>
    <t>2024 Stress</t>
  </si>
  <si>
    <t>Indicates whether the party that won the seat in 2022 failed to lead the same Assembly segment in the 2024 Lok Sabha election.</t>
  </si>
  <si>
    <t>Sujanpur: INC won in 2022 but BJP led in 2024 → High Stress / 100.</t>
  </si>
  <si>
    <t>Post-2022 Score</t>
  </si>
  <si>
    <t>Score capturing major constituency-level political changes after 2022 such as bypoll flips, defections or realignments.</t>
  </si>
  <si>
    <t>Gidderbaha: INC → AAP in the 2024 bypoll → Post-2022 Score = 100.</t>
  </si>
  <si>
    <t>AVI - Assembly Volatility Index</t>
  </si>
  <si>
    <t>Composite 0-100 score measuring how politically unstable or vulnerable to change a constituency is.</t>
  </si>
  <si>
    <t>Ludhiana West: AVI 75.46 → Very High volatility.</t>
  </si>
  <si>
    <t>ACI - Assembly Competitiveness Index</t>
  </si>
  <si>
    <t>Composite score measuring how close and intensely contested a constituency is.</t>
  </si>
  <si>
    <t>Amritsar North: ACI 74.15 → highly competitive seat.</t>
  </si>
  <si>
    <t>Current Alignment</t>
  </si>
  <si>
    <t>Party that effectively controls or is politically aligned with the constituency now after updating the 2022 result for subsequent bypolls or major realignments.</t>
  </si>
  <si>
    <t>Barnala: AAP won in 2022, but INC won the 2024 bypoll → Current Alignment = INC.</t>
  </si>
  <si>
    <t>Strategic Posture</t>
  </si>
  <si>
    <t>Classification showing how a party should approach a seat: Defend, Battleground, Expand or Long Shot.</t>
  </si>
  <si>
    <t>A vulnerable seat already held by a party may be classified as Defend, while a winnable opposition-held seat may be Expand.</t>
  </si>
  <si>
    <t>Amritsar South</t>
  </si>
  <si>
    <t>Inderbir Singh Nijjar</t>
  </si>
  <si>
    <t>Attari</t>
  </si>
  <si>
    <t>Jaswinder Singh</t>
  </si>
  <si>
    <t>Tarn Taran</t>
  </si>
  <si>
    <t>Harmeet Singh Sandhu</t>
  </si>
  <si>
    <t>Khem Karan</t>
  </si>
  <si>
    <t>Sarvan Singh Dhun</t>
  </si>
  <si>
    <t>Patti</t>
  </si>
  <si>
    <t>Laljit Singh Bhullar</t>
  </si>
  <si>
    <t>Khadoor Sahib</t>
  </si>
  <si>
    <t>Manjinder Singh Lalpura</t>
  </si>
  <si>
    <t>Baba Bakala</t>
  </si>
  <si>
    <t>Dalbir Singh Tong</t>
  </si>
  <si>
    <t>Bholath</t>
  </si>
  <si>
    <t>Kapurthala</t>
  </si>
  <si>
    <t>Sukhpal Singh Khaira</t>
  </si>
  <si>
    <t xml:space="preserve">117 AC TRAJECTORIES  </t>
  </si>
  <si>
    <t>Winner Change?</t>
  </si>
  <si>
    <t>2017 Margin%</t>
  </si>
  <si>
    <t>Margin Change pp</t>
  </si>
  <si>
    <t>2017 Turnout%</t>
  </si>
  <si>
    <t>2022 Turnout%</t>
  </si>
  <si>
    <t>Turnout Change pp</t>
  </si>
  <si>
    <t>Current Alignment
(Based on 2022 or Bypolls)</t>
  </si>
  <si>
    <t>Assembly Trajectory</t>
  </si>
  <si>
    <t>Parliamentary Diagnostic</t>
  </si>
  <si>
    <t>Rana Gurjeet Singh</t>
  </si>
  <si>
    <t>2017→2022 Assembly change; current retained</t>
  </si>
  <si>
    <t>2024 LS stress toward BJP</t>
  </si>
  <si>
    <t>Sultanpur Lodhi</t>
  </si>
  <si>
    <t>Rana Inder Partap Singh</t>
  </si>
  <si>
    <t>Supports2022 signal</t>
  </si>
  <si>
    <t>Retained Assembly party</t>
  </si>
  <si>
    <t>Balwinder Singh Dhaliwal</t>
  </si>
  <si>
    <t>ASSEMBLY COMPETITIVENESS INDEX (ACI) 2027</t>
  </si>
  <si>
    <t>2019 LS=0% weight; 2024 LS=10% stress diagnostic.</t>
  </si>
  <si>
    <t>Phillaur</t>
  </si>
  <si>
    <t>2024 LS stress toward INC</t>
  </si>
  <si>
    <t>2017 Closeness</t>
  </si>
  <si>
    <t>Jalandhar</t>
  </si>
  <si>
    <t>Vikramjit Singh Chaudhary</t>
  </si>
  <si>
    <t>2022 Closeness</t>
  </si>
  <si>
    <t>2022 Winner</t>
  </si>
  <si>
    <t>Post-2022 Update</t>
  </si>
  <si>
    <t>Repeated Close?</t>
  </si>
  <si>
    <t>Inderjit Kaur Mann</t>
  </si>
  <si>
    <t>Post-2022 control/alignment changed</t>
  </si>
  <si>
    <t>Shahkot</t>
  </si>
  <si>
    <t>Hardev Singh Laddi</t>
  </si>
  <si>
    <t>2024 LS stress toward EMERGING</t>
  </si>
  <si>
    <t>Balkar Singh</t>
  </si>
  <si>
    <t>Sheetal Angural</t>
  </si>
  <si>
    <t>Raman Arora</t>
  </si>
  <si>
    <t>2025 bypoll 
AAP retained</t>
  </si>
  <si>
    <t>Jalandhar North</t>
  </si>
  <si>
    <t>Avtar Singh Junior</t>
  </si>
  <si>
    <t>Jalandhar Cantt</t>
  </si>
  <si>
    <t>Pargat Singh Powar</t>
  </si>
  <si>
    <t>2024 LS stress toward AAP</t>
  </si>
  <si>
    <t>Adampur</t>
  </si>
  <si>
    <t>Sukhwinder Singh Kotli</t>
  </si>
  <si>
    <t>Mukerian</t>
  </si>
  <si>
    <t>Hoshiarpur</t>
  </si>
  <si>
    <t>Jangi Lal Mahajan</t>
  </si>
  <si>
    <t>Dasuya</t>
  </si>
  <si>
    <t>Sham Chaurasi</t>
  </si>
  <si>
    <t>Karambir Singh</t>
  </si>
  <si>
    <t>2024 bypoll 
AAP gain from INC</t>
  </si>
  <si>
    <t>Garhshankar</t>
  </si>
  <si>
    <t>MLA elected SAD joined AAP;</t>
  </si>
  <si>
    <t>Anandpur Sahib</t>
  </si>
  <si>
    <t>Jasvir Singh Raja Gill</t>
  </si>
  <si>
    <t>Rupnagar</t>
  </si>
  <si>
    <t>Chamkaur Sahib</t>
  </si>
  <si>
    <t>Kharar</t>
  </si>
  <si>
    <t>SAS Nagar</t>
  </si>
  <si>
    <t>Bassi Pathana</t>
  </si>
  <si>
    <t>Dr.Ravjot Singh</t>
  </si>
  <si>
    <t>Fatehgarh Sahib</t>
  </si>
  <si>
    <t>Amloh</t>
  </si>
  <si>
    <t>Khanna</t>
  </si>
  <si>
    <t>Samrala</t>
  </si>
  <si>
    <t>Ludhiana East</t>
  </si>
  <si>
    <t>Bram Shanker (Jimpa)</t>
  </si>
  <si>
    <t>Ludhiana South</t>
  </si>
  <si>
    <t>Atam Nagar</t>
  </si>
  <si>
    <t>Ludhiana North</t>
  </si>
  <si>
    <t>Ishank Kumar Chabbewal</t>
  </si>
  <si>
    <t>Gill</t>
  </si>
  <si>
    <t>Payal</t>
  </si>
  <si>
    <t>SBS Nagar</t>
  </si>
  <si>
    <t>MLA elected SAD joined Waris Punjab De</t>
  </si>
  <si>
    <t>Raikot</t>
  </si>
  <si>
    <t>MLA elected SAD joined AAP; formal/legal membership separately tracked</t>
  </si>
  <si>
    <t>Jagraon</t>
  </si>
  <si>
    <t>Jai Krishan</t>
  </si>
  <si>
    <t>Nihal Singh Wala</t>
  </si>
  <si>
    <t>Bagha Purana</t>
  </si>
  <si>
    <t>Moga</t>
  </si>
  <si>
    <t>Dharamkot</t>
  </si>
  <si>
    <t>Zira</t>
  </si>
  <si>
    <t>ASSEMBLY VOLATILITY INDEX (AVI) 2027 PROXY</t>
  </si>
  <si>
    <t>Firozpur City</t>
  </si>
  <si>
    <t>Sukhwinder Kumar Sukhi (elected SAD; joined AAP)</t>
  </si>
  <si>
    <t>Firozpur Rural</t>
  </si>
  <si>
    <t>MOST VOLATILE</t>
  </si>
  <si>
    <t>MOST STABLE</t>
  </si>
  <si>
    <t>MLA elected SAD joined AAP; formal/legal membership differs</t>
  </si>
  <si>
    <t>2017 to 2022 Winner Change</t>
  </si>
  <si>
    <t>Guru Har Sahai</t>
  </si>
  <si>
    <t>Turnover Score</t>
  </si>
  <si>
    <t>Jalalabad</t>
  </si>
  <si>
    <t>Sequence</t>
  </si>
  <si>
    <t>Fazilka</t>
  </si>
  <si>
    <t>Dr. Nachhatar Pal</t>
  </si>
  <si>
    <t>Balluana</t>
  </si>
  <si>
    <t>Lambi</t>
  </si>
  <si>
    <t>Malout</t>
  </si>
  <si>
    <t>Santosh Kumari Katariaa</t>
  </si>
  <si>
    <t>Muktsar</t>
  </si>
  <si>
    <t>Faridkot</t>
  </si>
  <si>
    <t>Kotkapura</t>
  </si>
  <si>
    <t>Ludhiana</t>
  </si>
  <si>
    <t>Jaitu</t>
  </si>
  <si>
    <t>Harjot Singh Bains</t>
  </si>
  <si>
    <t>Rampura Phul</t>
  </si>
  <si>
    <t>Bhucho Mandi</t>
  </si>
  <si>
    <t>Bathinda Urban</t>
  </si>
  <si>
    <t>Dinesh Kumar Chadha</t>
  </si>
  <si>
    <t>Bathinda Rural</t>
  </si>
  <si>
    <t>Talwandi Sabo</t>
  </si>
  <si>
    <t>Maur</t>
  </si>
  <si>
    <t>Mansa</t>
  </si>
  <si>
    <t>Charanjit Singh</t>
  </si>
  <si>
    <t>Sardulgarh</t>
  </si>
  <si>
    <t>Budhlada</t>
  </si>
  <si>
    <t>Lehra</t>
  </si>
  <si>
    <t>Dirba</t>
  </si>
  <si>
    <t>Anmol Gagan Maan</t>
  </si>
  <si>
    <t>Sunam</t>
  </si>
  <si>
    <t>Bhadaur</t>
  </si>
  <si>
    <t>Barnala</t>
  </si>
  <si>
    <t>2024 bypoll 
INC gain from AAP</t>
  </si>
  <si>
    <t>Mehal Kalan</t>
  </si>
  <si>
    <t>Kulwant Singh</t>
  </si>
  <si>
    <t>Malerkotla</t>
  </si>
  <si>
    <t>Amargarh</t>
  </si>
  <si>
    <t>Dhuri</t>
  </si>
  <si>
    <t>Sangrur</t>
  </si>
  <si>
    <t>Rupinder Singh</t>
  </si>
  <si>
    <t>Nabha</t>
  </si>
  <si>
    <t>Patiala Rural</t>
  </si>
  <si>
    <t>Rajpura</t>
  </si>
  <si>
    <t>Lakhbir Singh Rai</t>
  </si>
  <si>
    <t>Dera Bassi</t>
  </si>
  <si>
    <t>MLA elected SAD joined Waris Punjab De; formal/legal membership separately tracked</t>
  </si>
  <si>
    <t>Ghanaur</t>
  </si>
  <si>
    <t>Sanour</t>
  </si>
  <si>
    <t>Patiala</t>
  </si>
  <si>
    <t>PLC</t>
  </si>
  <si>
    <t>Samana</t>
  </si>
  <si>
    <t>Gurinder Singh Garry Birring</t>
  </si>
  <si>
    <t>Shutrana</t>
  </si>
  <si>
    <t>Tarunpreet Singh Sond</t>
  </si>
  <si>
    <t>Jagtar Singh Diyalpura</t>
  </si>
  <si>
    <t>Ferozepur</t>
  </si>
  <si>
    <t>Hardeep Singh Mundian</t>
  </si>
  <si>
    <t>Daljit Singh Grewal (Bhola)</t>
  </si>
  <si>
    <t>2024 LS stress toward SAD</t>
  </si>
  <si>
    <t>Rajinder Pal Kaur</t>
  </si>
  <si>
    <t>Kulwant Singh Sidhu</t>
  </si>
  <si>
    <t>Ashok Parashar (Pappi)</t>
  </si>
  <si>
    <t>Sri Muktsar Sahib</t>
  </si>
  <si>
    <t>Sanjeev Arora</t>
  </si>
  <si>
    <t>Madan Lal Bagga</t>
  </si>
  <si>
    <t>Jiwan Singh Sangowal</t>
  </si>
  <si>
    <t>Bathinda</t>
  </si>
  <si>
    <t>Manwinder Singh Giaspura</t>
  </si>
  <si>
    <t>Manpreet Singh Ayali (elected SAD; joined WPD)</t>
  </si>
  <si>
    <t>MLA elected SAD joined WPD; formal/legal membership differs</t>
  </si>
  <si>
    <t>Hakam Singh Thekedar</t>
  </si>
  <si>
    <t>Sarvjit Kaur Manuke</t>
  </si>
  <si>
    <t>Manjit Singh Bilaspur</t>
  </si>
  <si>
    <t>Amritpal Singh Sukhanand</t>
  </si>
  <si>
    <t>2024 bypoll - INC gain from AAP</t>
  </si>
  <si>
    <t>Dr. Amandeep Kaur Arora</t>
  </si>
  <si>
    <t>Devinderjeet Singh Laddi Dhose</t>
  </si>
  <si>
    <t>PUNJAB'S POLITICAL SOCIETY  (GEOGRAPHY, ECONOMY &amp; ELECTORAL BEHAVIOUR)</t>
  </si>
  <si>
    <t>Naresh Kataria</t>
  </si>
  <si>
    <t>Political geography is layered: region, rural/urban economy, border exposure, class, caste and candidate networks interact. No row should be read as a deterministic voter stereotype.</t>
  </si>
  <si>
    <t>Rural Punjab</t>
  </si>
  <si>
    <t>Urban Punjab</t>
  </si>
  <si>
    <t>Border districts</t>
  </si>
  <si>
    <t>Industrial centres</t>
  </si>
  <si>
    <t>Geographic / economic profile</t>
  </si>
  <si>
    <t>62.51% of population was rural in Census 2011; agriculture and village networks remain structurally important.</t>
  </si>
  <si>
    <t>37.49% urban in Census 2011; major nodes include Ludhiana, Jalandhar, Amritsar, Mohali/Dera Bassi, Bathinda and Patiala.</t>
  </si>
  <si>
    <t>69 of 117 ACs; largest political region; major farming belt plus Ludhiana/Bathinda urban-industrial pockets.</t>
  </si>
  <si>
    <t>25 ACs; Amritsar-Gurdaspur-Tarn Taran/Pathankot belt, including international border and major Sikh religious sites.</t>
  </si>
  <si>
    <t>23 ACs; Jalandhar-Hoshiarpur-Kapurthala-SBS Nagar; comparatively dense diaspora history and highest SC share among regions.</t>
  </si>
  <si>
    <t>Pathankot/Gurdaspur/Amritsar/Tarn Taran/Ferozepur/Fazilka border-linked areas.</t>
  </si>
  <si>
    <t>Ludhiana, Jalandhar, Mandi Gobindgarh, Mohali/Dera Bassi and related manufacturing/service belts.</t>
  </si>
  <si>
    <t>Social-political features</t>
  </si>
  <si>
    <t>Farm size, land ownership, agricultural labour, union networks, migration and dera/gurdwara institutions overlap.</t>
  </si>
  <si>
    <t>More traders, industry/MSME workers, services, Hindu upper-caste concentration in some seats, mixed migrant labour.</t>
  </si>
  <si>
    <t>Large farmer base, marked landholding inequalities, strong farmer-union politics; historically receptive to political change.</t>
  </si>
  <si>
    <t>Panthic memory, border security/smuggling, agriculture, smaller holdings in many areas, strong candidate/faction networks.</t>
  </si>
  <si>
    <t>High Scheduled Caste concentration, strong Ravidassia institutions in parts, mixed agrarian/urban economy, long diaspora connections.</t>
  </si>
  <si>
    <t>Security institutions, cross-border trade history, smuggling/drone concerns and Panthic/farm politics overlap.</t>
  </si>
  <si>
    <t>MSME owners, traders, salaried workers, industrial labour, migrant workers and urban middle classes.</t>
  </si>
  <si>
    <t>Phase 2 electoral evidence</t>
  </si>
  <si>
    <t>AAP's 2022 sweep was overwhelmingly powered by rural-heavy Malwa; 2024 LS signals fragmented in the same geography.</t>
  </si>
  <si>
    <t>BJP led many urban/semi-urban LS segments in 2024; INC and AAP remain competitive and won urban Assembly seats in 2022.</t>
  </si>
  <si>
    <t>2017: INC40/AAP18; 
2019 LS-seg: 
INC39/SAD19/AAP7/LIP4; 
2022: AAP66; 
2024: AAP24/INC17/BJP12/IND8/SAD8.</t>
  </si>
  <si>
    <t>2017 INC22; 
2019 INC17/BJP8; 
2022 AAP16; 
2024 INC10/BJP6/IND6/AAP2/SAD1.</t>
  </si>
  <si>
    <t>2017 INC15; 
2019 INC13/BJP4/SAD4/BSP2; 
2022 AAP10/INC9 plus 4 others; 
2024 INC10/AAP7/BJP5/IND1.</t>
  </si>
  <si>
    <t>2024 BJP and Independents both gained important Majha signals; party effects vary sharply by seat.</t>
  </si>
  <si>
    <t>2024 BJP gained urban segment leads; Congress/AAP remain seat-competitive.</t>
  </si>
  <si>
    <t>2017→2024 direction</t>
  </si>
  <si>
    <t>Anti-incumbency and issue responsiveness are high; no single permanent rural party.</t>
  </si>
  <si>
    <t>2024 produced a BJP urban growth signal but not statewide seat conversion.</t>
  </si>
  <si>
    <t>From Congress plurality → massive AAP wave → fragmented parliamentary field with AAP still first in segment leads.</t>
  </si>
  <si>
    <t>Most dramatic four-way fragmentation by 2024.</t>
  </si>
  <si>
    <t>Persistent multi-party competition rather than a single sweep structure.</t>
  </si>
  <si>
    <t>More fragmented since 2022; law-order/security can amplify national-vs-state framing.</t>
  </si>
  <si>
    <t>BJP growth is visible, but conversion depends on local candidates and opposition fragmentation.</t>
  </si>
  <si>
    <t>Ranbir Singh</t>
  </si>
  <si>
    <t>Key voter concerns</t>
  </si>
  <si>
    <t>MSP, debt, input costs, groundwater, jobs, drugs, migration, welfare</t>
  </si>
  <si>
    <t>Jobs, business climate, power reliability, law/order, infrastructure, taxation, welfare</t>
  </si>
  <si>
    <t>Agriculture, MSP, groundwater, drugs, jobs/migration, welfare; industry issues in Ludhiana/Mandi Gobindgarh</t>
  </si>
  <si>
    <t>Border security, drugs/smuggling, jobs/migration, Panthic issues, agriculture, Centre-State relations</t>
  </si>
  <si>
    <t>Jobs, migration, representation/dignity, welfare, urban business, land/labour, dera/community institutions</t>
  </si>
  <si>
    <t>Smuggling, drugs, gangs, border security, trade, agriculture, jobs</t>
  </si>
  <si>
    <t>Power, clearances, infrastructure, traffic, law/order, labour supply, demand, taxation</t>
  </si>
  <si>
    <t>Parties currently competitive</t>
  </si>
  <si>
    <t>AAP / INC / SAD; BJP seeking expansion; farmer unions autonomous</t>
  </si>
  <si>
    <t>BJP / INC / AAP</t>
  </si>
  <si>
    <t>AAP / INC / SAD / BJP / independents in pockets</t>
  </si>
  <si>
    <t>INC / BJP / AAP / SAD / alternative Panthic candidates</t>
  </si>
  <si>
    <t>INC / AAP / BJP / BSP; SAD pockets</t>
  </si>
  <si>
    <t>INC / BJP / AAP / SAD / independents</t>
  </si>
  <si>
    <t>What makes it distinctive</t>
  </si>
  <si>
    <t>State and national farm policy can matter differently; village candidate networks remain important.</t>
  </si>
  <si>
    <t>Urban Punjab is not uniformly Hindu or BJP; class, caste and candidate effects remain strong.</t>
  </si>
  <si>
    <t>Malwa is the principal seat reservoir: small percentage changes can move dozens of Assembly seats.</t>
  </si>
  <si>
    <t>National-security, identity and state-governance frames can coexist in the same seat.</t>
  </si>
  <si>
    <t>Dalit voters are internally diverse by religion/sub-caste/class; Doaba's politics cannot be reduced to a single 'Dalit vote'.</t>
  </si>
  <si>
    <t>Security concerns do not automatically imply BJP support; local policing and Punjab identity alter attribution.</t>
  </si>
  <si>
    <t>Business-owner and industrial-worker preferences can diverge substantially.</t>
  </si>
  <si>
    <t>Assessment Type</t>
  </si>
  <si>
    <t>Official data + Phase 2 + interpretation</t>
  </si>
  <si>
    <t>Official + survey + journalist assessment</t>
  </si>
  <si>
    <t>Phase 2 + journalist assessment</t>
  </si>
  <si>
    <t>Census-derived reporting + academic + Phase 2</t>
  </si>
  <si>
    <t>Official security evidence + Phase 2 + interpretation</t>
  </si>
  <si>
    <t>Journalist evidence + Phase 2</t>
  </si>
  <si>
    <t>High</t>
  </si>
  <si>
    <t>Source 1</t>
  </si>
  <si>
    <t>https://punjab.gov.in/state-profile/</t>
  </si>
  <si>
    <t>https://theprint.in/politics/malwa-majha-doaba-divided-by-rivers-each-punjab-region-has-distinct-political-identity/814388/</t>
  </si>
  <si>
    <t>Rajneesh Kumar Dahiya</t>
  </si>
  <si>
    <t>https://www.mha.gov.in/MHA1/Par2017/pdfs/par2023-pdfs/LS28032023/4460.pdf</t>
  </si>
  <si>
    <t>https://timesofindia.indiatimes.com/city/ludhiana/industrialists-flag-power-supply-infra-issues-in-meeting-with-dc/articleshow/132544973.cms</t>
  </si>
  <si>
    <t>Fauja Singh</t>
  </si>
  <si>
    <t>Source 2</t>
  </si>
  <si>
    <t>https://indianexpress.com/article/cities/chandigarh/with-langars-and-trolleys-farmers-begin-seven-day-sit-in-on-mohali-chandigarh-border-10859753/lite/</t>
  </si>
  <si>
    <t>https://indianexpress.com/article/cities/chandigarh/punjab-loss-for-bjp-highest-ever-vote-share-9374008/</t>
  </si>
  <si>
    <t>https://indianexpress.com/article/chandigarh/punjab-paddy-cultivation-record-high-kharif-acreage-crop-diversification-failure-10854916/lite/</t>
  </si>
  <si>
    <t>https://indianexpress.com/article/cities/chandigarh/punjab-border-belt-violence-gurdaspur-ferozpur-amritsar-targeted-killings-grenade-blast-modular-gangs-10724900/</t>
  </si>
  <si>
    <t>Jagdeep Kamboj</t>
  </si>
  <si>
    <t>https://www.cambridge.org/core/journals/journal-of-asian-studies/article/abs/ravidass-deras-and-social-protest-making-sense-of-dalit-consciousness-in-punjab-india/8F4FE512813926F4D1349C2FF21A4E47</t>
  </si>
  <si>
    <t>https://timesofindia.indiatimes.com/city/chandigarh/five-thermal-units-down-generation-shortfall-bites-industry-sector/articleshow/133662379.cms</t>
  </si>
  <si>
    <t>Narinder Pal Singh Sawna</t>
  </si>
  <si>
    <t>Implication</t>
  </si>
  <si>
    <t>Rural voting should be segmented by farm class, labour status and region-not treated as one 'farmer vote'.</t>
  </si>
  <si>
    <t>Urban Hindu consolidation is a BJP opportunity; Assembly conversion depends on candidate depth and multi-cornered margins.</t>
  </si>
  <si>
    <t>2027 hinges heavily on whether the 2022 AAP Malwa coalition stays united or splits across INC/SAD/BJP/alternatives.</t>
  </si>
  <si>
    <t>Majha should be treated as Punjab's highest-complexity region rather than a simple Panthic belt.</t>
  </si>
  <si>
    <t>Doaba is ideal for constituency-level social coalition analysis; statewide caste assumptions are especially dangerous here.</t>
  </si>
  <si>
    <t>Measure whom voters blame-Centre, state, policing or cross-border actors-before assigning issue ownership.</t>
  </si>
  <si>
    <t>Separate employer/business concerns from worker welfare/jobs when polling urban industrial seats.</t>
  </si>
  <si>
    <t>Sandeep Jakhar</t>
  </si>
  <si>
    <t>Amandeep Singh Musafir</t>
  </si>
  <si>
    <t>Gurmeet Singh Khudian</t>
  </si>
  <si>
    <t>Hardeep Singh Dimpy Dhillon</t>
  </si>
  <si>
    <t>Dr. Baljit Kaur</t>
  </si>
  <si>
    <t>PARTY SOCIAL COALITIONS (WHAT EACH PARTY CURRENTLY HOLDS, LOST OR CONTESTS)</t>
  </si>
  <si>
    <t>Jagdeep Singh 'Kaka Brar'</t>
  </si>
  <si>
    <t>Historically favourable support</t>
  </si>
  <si>
    <t>Since 2017: anti-establishment voters, parts of rural Malwa, younger/change voters; less historically rooted than INC/SAD.</t>
  </si>
  <si>
    <t>Historically Punjab's broad catch-all: Dalits, urban Hindus, OBCs plus segments of Sikhs/Jat Sikhs; strong leader/candidate networks.</t>
  </si>
  <si>
    <t>Historically Jat Sikh/Panthic rural core, gurdwara/SGPC-linked networks, alliance complementarity with BJP urban Hindus.</t>
  </si>
  <si>
    <t>Historically urban Hindu/trader support, mostly within SAD-BJP alliance and limited seat footprint.</t>
  </si>
  <si>
    <t>Dalit assertion tradition and Kanshi Ram legacy; strongest symbolic relevance in Doaba and SC-heavy constituencies.</t>
  </si>
  <si>
    <t>2022 coalition</t>
  </si>
  <si>
    <t>Exceptionally broad: 2022 estimates show high support among Jat Sikh, Dalit Sikh, OBC Sikh and Hindu groups; Mann/change/Delhi-model coalition.</t>
  </si>
  <si>
    <t>Collapsed in 2022 across most groups despite Channi; factional/anti-incumbency damaged coalition.</t>
  </si>
  <si>
    <t>2022 support contracted sharply; Jat Sikh estimate 26, Dalit Sikh18, OBC Sikh14 in Lokniti-derived table.</t>
  </si>
  <si>
    <t>2022 standalone expansion limited; Hindu vote rose but AAP still won broadly.</t>
  </si>
  <si>
    <t>2022 allied with SAD; won one seat but could not consolidate Dalit vote statewide.</t>
  </si>
  <si>
    <t>2024 coalition signal</t>
  </si>
  <si>
    <t>Still competitive across Sikh groups: Jat30, Dalit Sikh, OBC Sikh in 2024 CSDS table; weak among Hindu upper castes.</t>
  </si>
  <si>
    <t>2024 CSDS: OBC Sikh, Dalit Sikh, Hindu Dalit, Jat Sikh, Hindu upper; won 7 LS seats.</t>
  </si>
  <si>
    <t>2024 CSDS: Jat Sikh remains meaningful, but Dalit Sikh/OBC Sikh and Hindu upper; only 1 LS seat.</t>
  </si>
  <si>
    <t>2024 strongest signal: 18.56% statewide LS vote; upper-caste Hindu estimate56%; ~23 Phase-2 segment leads, mostly urban/semi-urban; 0 MPs.</t>
  </si>
  <si>
    <t>2024 2.49% statewide LS vote and no Phase-2 segment leads.</t>
  </si>
  <si>
    <t>Recently gained</t>
  </si>
  <si>
    <t>2017→2022: Congress/SAD voters, OBC Sikh and Dalit Sikh voters, much of Malwa; first-time anti-establishment voters.</t>
  </si>
  <si>
    <t>Recovered anti-AAP voters, OBC Sikh respondents, candidate-led urban/rural constituencies; regained Majha/Doaba segment plurality.</t>
  </si>
  <si>
    <t>Residual Bathinda/Malwa and loyal Panthic/rural networks.</t>
  </si>
  <si>
    <t>Urban upper-caste Hindus, parts of Hindu Dalit/urban voters; new candidates/leaders from Congress; selected northern/urban seats.</t>
  </si>
  <si>
    <t>Potential to recover voters dissatisfied with mainstream Dalit representation, especially in Doaba.</t>
  </si>
  <si>
    <t>Recently lost / weakened</t>
  </si>
  <si>
    <t>2022→2024: parts of Jat/OBC coalition; Majha LS-segment footprint fell sharply; some Panthic discontent moved to independents.</t>
  </si>
  <si>
    <t>Lost much of 2017 coalition to AAP in 2022; upper-caste Hindu share challenged by BJP in 2024.</t>
  </si>
  <si>
    <t>Large parts of Panthic vote moved to AAP/INC/independents; urban Hindu alliance channel disappeared; credibility damaged by 2015 sacrilege legacy.</t>
  </si>
  <si>
    <t>Weak among Jat Sikh/Dalit Sikh/OBC Sikh respondents in 2024; farmer hostility constrains rural expansion.</t>
  </si>
  <si>
    <t>Organisational leakage and tactical voting toward INC/AAP; alliance did not create a unified Dalit bloc.</t>
  </si>
  <si>
    <t>Competitive voters</t>
  </si>
  <si>
    <t>Rural Sikh/OBC/SC voters, welfare beneficiaries, youth, women, urban lower/middle-income voters</t>
  </si>
  <si>
    <t>OBC/Dalit voters, anti-incumbent rural voters, moderate Sikh voters, urban voters, employees</t>
  </si>
  <si>
    <t>Jat Sikh farmers, Panthic voters, rural anti-AAP voters; possible former alliance voters depending 2027 configuration</t>
  </si>
  <si>
    <t>Urban Hindu voters, traders/MSMEs, law-order voters, some Dalit urban voters, selective Sikh outreach</t>
  </si>
  <si>
    <t>Ravidassia/Ad-Dharmi and other Dalit voters where organisation/candidate is credible; protest voters</t>
  </si>
  <si>
    <t>Geographic concentration</t>
  </si>
  <si>
    <t>Malwa remains key; competitive in Doaba; weaker 2024 Majha signal.</t>
  </si>
  <si>
    <t>Majha and Doaba comparatively strong; candidate strength across Ludhiana/Patiala/Amritsar/Fatehgarh etc.</t>
  </si>
  <si>
    <t>Bathinda/Malwa pockets; historically broader but 2024 Majha segment footprint only 1 in Phase 2.</t>
  </si>
  <si>
    <t>Urban/semiurban: Pathankot/Gurdaspur cities, Amritsar, Jalandhar, Ludhiana, Hoshiarpur, Abohar, Patiala-Dera Bassi etc.</t>
  </si>
  <si>
    <t>Doaba strongest potential; selected reserved seats elsewhere</t>
  </si>
  <si>
    <t>Candidate / wave dependence</t>
  </si>
  <si>
    <t>2022 highly wave-dependent; Bhagwant Mann mattered personally, but Lokniti said party mattered most to 57.2% versus candidate 35%.</t>
  </si>
  <si>
    <t>Historically candidate/leader-dependent—Amarinder in 2017/2019; 2024 winners often strong individual profiles.</t>
  </si>
  <si>
    <t>Candidate/family network remains important; Harsimrat's Bathinda retention contrasts with statewide collapse.</t>
  </si>
  <si>
    <t>2024 expansion partly enabled by contesting all 13 seats after alliance breakup; candidate depth and Assembly conversion remain untested.</t>
  </si>
  <si>
    <t>Highly candidate/organisation dependent; statewide Dalit population size has never translated automatically into BSP votes.</t>
  </si>
  <si>
    <t>Current structural strength</t>
  </si>
  <si>
    <t>Incumbency + welfare delivery + still-large organisation and Assembly footprint</t>
  </si>
  <si>
    <t>Broad social acceptability and deep candidate bench</t>
  </si>
  <si>
    <t>Historical organisation and Sikh institutional identity</t>
  </si>
  <si>
    <t>Clear urban growth space + Centre linkage + standalone organisation now being built</t>
  </si>
  <si>
    <t>Distinct ideological brand and community history</t>
  </si>
  <si>
    <t>Current structural weakness</t>
  </si>
  <si>
    <t>Drugs/law-order/jobs/farm-employee grievances; maintaining cross-group 2022 coalition; Panthic credibility tensions</t>
  </si>
  <si>
    <t>Persistent factionalism; unclear single CM/leadership hierarchy; must convert parliamentary vote to Assembly organisation</t>
  </si>
  <si>
    <t>Sukhbir leadership/sacrilege legacy, reduced social breadth, alliance uncertainty, competition from alternative Panthic forces</t>
  </si>
  <si>
    <t>Farmer/Sikh trust deficit, zero 2024 MPs despite high vote, limited rural organisation; alliance stance fluid in media but latest public line is solo</t>
  </si>
  <si>
    <t>Fragmented Dalit identities, low recent conversion, stronger competitors for same voters</t>
  </si>
  <si>
    <t>Survey Finding + Phase 2 + interpretation</t>
  </si>
  <si>
    <t>Survey + journalist + Phase 2</t>
  </si>
  <si>
    <t>Survey + current reporting + Phase 2</t>
  </si>
  <si>
    <t>Survey + Phase 2 + journalist assessment</t>
  </si>
  <si>
    <t>Academic + current reporting + Phase 2</t>
  </si>
  <si>
    <t>Source</t>
  </si>
  <si>
    <t>https://www.lokniti.org/media/PDF-upload/1652936933_9468000_download_report.pdf</t>
  </si>
  <si>
    <t>Gurdit Singh Sekhon</t>
  </si>
  <si>
    <t>https://indianexpress.com/article/political-pulse/congress-peace-punjab-amrinder-raja-warring-charanjit-singh-channi-10766998/</t>
  </si>
  <si>
    <t>https://indianexpress.com/article/political-pulse/a-fresh-probe-old-wounds-punjabs-sacrilege-row-simmers-ahead-of-2027-polls-10738867/</t>
  </si>
  <si>
    <t>Kultar Singh Sandhwan</t>
  </si>
  <si>
    <t>https://www.hindustantimes.com/india-news/bsp-will-go-solo-in-up-uttarakhand-and-punjab-assembly-elections-mayawati-101787653497781-amp.html</t>
  </si>
  <si>
    <t>Amolak Singh</t>
  </si>
  <si>
    <t>Balkar Singh Sidhu</t>
  </si>
  <si>
    <t>Jagsir Singh</t>
  </si>
  <si>
    <t>IMPORTANT SOCIAL &amp; ELECTORAL GROUPS</t>
  </si>
  <si>
    <t>Group</t>
  </si>
  <si>
    <t>Geographic strength</t>
  </si>
  <si>
    <t>Political importance</t>
  </si>
  <si>
    <t>Main concerns</t>
  </si>
  <si>
    <t>Historical political competition</t>
  </si>
  <si>
    <t>2022 evidence / trend</t>
  </si>
  <si>
    <t>2024 evidence / trend</t>
  </si>
  <si>
    <t>Parties competing</t>
  </si>
  <si>
    <t>Stability / volatility</t>
  </si>
  <si>
    <t>Key internal divisions</t>
  </si>
  <si>
    <t>Consultant reading</t>
  </si>
  <si>
    <t>Jat Sikh farmers</t>
  </si>
  <si>
    <t>Rural Malwa; also Majha and parts of Doaba</t>
  </si>
  <si>
    <t>Very High</t>
  </si>
  <si>
    <t>MSP/procurement, farm income/debt, groundwater, migration, drugs, Punjab/Panthic identity</t>
  </si>
  <si>
    <t>Historically strong SAD competition with Congress; AAP made major inroads from 2017 onward</t>
  </si>
  <si>
    <t>Lokniti-derived table: AAP ~46%, SAD-BSP 26%, INC16%, BJP2 among Jat Sikh respondents</t>
  </si>
  <si>
    <t>CSDS Punjab NES 2024: AAP30, SAD25, INC21, Others19, BJP5</t>
  </si>
  <si>
    <t>AAP / SAD / INC; alternative Panthic candidates in some seats</t>
  </si>
  <si>
    <t>High volatility since 2017</t>
  </si>
  <si>
    <t>Farm size, union affiliation, region, religio-political orientation, age</t>
  </si>
  <si>
    <t>Survey Finding + interpretation</t>
  </si>
  <si>
    <t>https://giss.org/jsps_vol_30/12-mehra.pdf</t>
  </si>
  <si>
    <t>ISSUE LANDSCAPE FOR 2027: EVIDENCE, RISK &amp; SALIENCE</t>
  </si>
  <si>
    <t>Severity reflects the objective/current problem signal.
 2027 salience is an analytical estimate of likely electoral visibility. 
They are separated because a severe structural problem may not become an election-defining issue without a political trigger.</t>
  </si>
  <si>
    <t>The old SAD-centered model has weakened; 2022 support was broad AAP change voting, but 2024 shows substantial re-fragmentation.</t>
  </si>
  <si>
    <t>Dalit Sikhs</t>
  </si>
  <si>
    <t>Statewide; significant in Doaba/Malwa and reserved constituencies</t>
  </si>
  <si>
    <t>Jobs, land/labour, welfare, dignity/representation, education, migration, drugs</t>
  </si>
  <si>
    <t>Congress historically strong; SAD competed; AAP expanded sharply in 2022</t>
  </si>
  <si>
    <t>AAP ~46%, INC27, SAD-BSP18, BJP3 among Dalit Sikh respondents</t>
  </si>
  <si>
    <t>AAP38, INC31, SAD13, Others12, BJP6</t>
  </si>
  <si>
    <t>AAP / INC; SAD/BSP pockets</t>
  </si>
  <si>
    <t>Jagroop Singh Gill</t>
  </si>
  <si>
    <t>Medium-High volatility</t>
  </si>
  <si>
    <t>Mazhabi/Rangreta, Ramdasia/Ravidassia and other identities; rural labour vs urban/service class</t>
  </si>
  <si>
    <t>Issue</t>
  </si>
  <si>
    <t>Survey Finding + academic caution</t>
  </si>
  <si>
    <t>Severity (1-5)</t>
  </si>
  <si>
    <t>2027 Salience (1-5)</t>
  </si>
  <si>
    <t>Priority Score /5</t>
  </si>
  <si>
    <t>Voters most affected</t>
  </si>
  <si>
    <t>Regions</t>
  </si>
  <si>
    <t>AAP became the largest 2022/2024 survey choice, but Congress remains structurally competitive; no single Dalit Sikh bloc exists.</t>
  </si>
  <si>
    <t>Current evidence</t>
  </si>
  <si>
    <t>Incumbent Risk</t>
  </si>
  <si>
    <t>Ravidassia / Chamar / Ad-Dharmi communities</t>
  </si>
  <si>
    <t>Opposition Opportunity</t>
  </si>
  <si>
    <t>Who bears responsibility in voter mind?</t>
  </si>
  <si>
    <t>Especially Doaba/Jalandhar-Hoshiarpur belt; diaspora-linked networks</t>
  </si>
  <si>
    <t>Dignity, representation, jobs, land, education, migration, institutional autonomy</t>
  </si>
  <si>
    <t>Congress historically competitive; BSP has symbolic/organisational roots; AAP has made gains; BJP competes in urban Doaba</t>
  </si>
  <si>
    <t>No clean statewide Ravidassia-only vote estimate used</t>
  </si>
  <si>
    <t>2024 broad Dalit/Hindu-Sikh tables imply multi-party competition; Doaba segment results were INC10/AAP7/BJP5/IND1</t>
  </si>
  <si>
    <t>Unemployment</t>
  </si>
  <si>
    <t>INC / AAP / BSP / BJP locally</t>
  </si>
  <si>
    <t>Religious identification, dera affiliation, class, urban/rural, diaspora link</t>
  </si>
  <si>
    <t>Academic Research + Phase 2</t>
  </si>
  <si>
    <t>Youth, graduates, families, urban/rural job seekers</t>
  </si>
  <si>
    <t>Statewide; urban centres + migration-heavy rural belts</t>
  </si>
  <si>
    <t>PLFS Apr-Jun 2026: Punjab 15-29 unemployment 22.3% vs 15.9% India; young women 31.4%.</t>
  </si>
  <si>
    <t>Dera Sachkhand Ballan is socially important, but influence should not be converted into an assumed command vote.</t>
  </si>
  <si>
    <t>Primarily state for recruitment/investment; Centre for macro jobs depending voter</t>
  </si>
  <si>
    <t>Mazhabi Sikh / Balmiki communities</t>
  </si>
  <si>
    <t>Rural Majha/Malwa; Balmiki presence also urban/local-body contexts</t>
  </si>
  <si>
    <t>Landlessness, wages, reservation, sanitation/service jobs, welfare, dignity, education</t>
  </si>
  <si>
    <t>Congress/Akali competition historically; AAP expansion in 2022</t>
  </si>
  <si>
    <t>Included within broader Dalit Sikh gains toward AAP; separate robust statewide share not used</t>
  </si>
  <si>
    <t>Youth / overseas migration</t>
  </si>
  <si>
    <t>No robust 2024 subgroup estimate located</t>
  </si>
  <si>
    <t>AAP / INC / SAD; BSP local</t>
  </si>
  <si>
    <t>Mazhabi Sikh and Balmiki/Valmiki identities differ from Ravidassia/Chamar clusters</t>
  </si>
  <si>
    <t>Academic Research + inference</t>
  </si>
  <si>
    <t>Youth, parents, rural households, students</t>
  </si>
  <si>
    <t>https://www.researchgate.net/publication/312720761_Internal_Caste_Cleavages_among_Dalits_in_Punjab</t>
  </si>
  <si>
    <t>Statewide; PAU study: highest HH migration incidence Majha, then Malwa, then Doaba</t>
  </si>
  <si>
    <t>PAU survey: 13.34% rural HH had overseas migrant; 74% migration occurred since 2016; jobs/underemployment/low income major reasons.</t>
  </si>
  <si>
    <t>State opportunity structure + national visa/economy context</t>
  </si>
  <si>
    <t>Drugs / addiction</t>
  </si>
  <si>
    <t>Youth, families, rural/urban communities</t>
  </si>
  <si>
    <t>Statewide; border and high-incidence localities especially salient</t>
  </si>
  <si>
    <t>OOAT patient count reportedly rose from ~2 lakh in 2022 to 3.17 lakh in 2026; Assembly committee questioned treatment outcomes.</t>
  </si>
  <si>
    <t>State policing/treatment; cross-border supply invokes Centre/BSF dimension</t>
  </si>
  <si>
    <t>Amit Rattan Kotfatta</t>
  </si>
  <si>
    <t>Law and order</t>
  </si>
  <si>
    <t>Urban residents, businesses, youth, families</t>
  </si>
  <si>
    <t>Statewide; high visibility in cities and border districts</t>
  </si>
  <si>
    <t>High-profile extortion, targeted killings, grenade/arms cases and international-gang links continued to receive attention in 2026.</t>
  </si>
  <si>
    <t>State police/government primarily; cross-border dimensions complicate attribution</t>
  </si>
  <si>
    <t>Gangsters / extortion</t>
  </si>
  <si>
    <t>Businesses, traders, youth, affluent households, diaspora-linked families</t>
  </si>
  <si>
    <t>Urban Punjab + border belts; network can be transnational</t>
  </si>
  <si>
    <t>2026 investigations included alleged international extortion/gang links and police corruption cases.</t>
  </si>
  <si>
    <t>State enforcement; overseas networks and federal agencies also relevant</t>
  </si>
  <si>
    <t>Corruption</t>
  </si>
  <si>
    <t>Any 'Dalit vote' model that merges Ravidassia and Mazhabi/Balmiki preferences will miss real political cleavages.</t>
  </si>
  <si>
    <t>Hindu urban voters</t>
  </si>
  <si>
    <t>Urban/semi-urban Ludhiana, Jalandhar, Amritsar, Pathankot, Abohar, Hoshiarpur, Patiala/Rajpura-Dera Bassi</t>
  </si>
  <si>
    <t>Broad electorate, employees, business</t>
  </si>
  <si>
    <t>Very High in competitive urban seats</t>
  </si>
  <si>
    <t>Statewide</t>
  </si>
  <si>
    <t>Jobs/business, law/order, infrastructure, taxation, welfare, Centre access</t>
  </si>
  <si>
    <t>Congress and BJP historically important; BJP formerly operated through SAD alliance; AAP broke through in 2022</t>
  </si>
  <si>
    <t>AAP retains anti-corruption brand history but incumbency creates a credibility test; no fresh statewide ownership poll found.</t>
  </si>
  <si>
    <t>2022 Lokniti-derived religion table: AAP35, INC27, BJP16, SAD18 among Hindu respondents</t>
  </si>
  <si>
    <t>2024 upper-caste Hindu respondents: BJP56, INC21, AAP13; Hindu Dalit respondents: INC32, AAP24, BJP23</t>
  </si>
  <si>
    <t>State govt where local; all parties vulnerable to candidate-level allegations</t>
  </si>
  <si>
    <t>Low-Medium</t>
  </si>
  <si>
    <t>High; especially between Assembly and LS elections</t>
  </si>
  <si>
    <t>Caste, class, trader/worker status, urban locality, religion intensity</t>
  </si>
  <si>
    <t>Survey Finding + Phase 2</t>
  </si>
  <si>
    <t>https://www.researchgate.net/publication/385514117_Punjab_Lok_Sabha_Elections_2024_Discerning_the_Trends</t>
  </si>
  <si>
    <t>Agriculture / farm income</t>
  </si>
  <si>
    <t>Farmers, farm labour, input/market-linked households</t>
  </si>
  <si>
    <t>Malwa, Majha, Doaba rural</t>
  </si>
  <si>
    <t>Punjab remains heavily procurement-dependent; large farmer mobilisation continued in Sep 2026.</t>
  </si>
  <si>
    <t>Centre on MSP/trade; state on diversification, water, electricity, local compensation</t>
  </si>
  <si>
    <t>MSP / procurement</t>
  </si>
  <si>
    <t>Wheat/paddy farmers, rural economy</t>
  </si>
  <si>
    <t>BJP's 2024 surge is strongest here, but Hindu Dalits were much more fragmented than upper-caste Hindus.</t>
  </si>
  <si>
    <t>Agrarian Punjab, especially Malwa/Majha</t>
  </si>
  <si>
    <t>Khatri / Arora communities</t>
  </si>
  <si>
    <t>2025 wheat procurement: 115.36 LMT at MSP, ~8 lakh farmers, ~₹27,975cr paid; unions still demand legal MSP in 2026.</t>
  </si>
  <si>
    <t>Urban commercial centres; mixed Hindu/Sikh identities</t>
  </si>
  <si>
    <t>High in selected urban seats</t>
  </si>
  <si>
    <t>Business climate, law/order, taxes, power, jobs, civic infrastructure</t>
  </si>
  <si>
    <t>Centre is dominant in legal MSP/procurement framework; state claims advocacy role</t>
  </si>
  <si>
    <t>Congress/BJP historically competitive; SAD alliance once gave BJP urban channel; AAP gained in 2022</t>
  </si>
  <si>
    <t>Khatri Sikh respondents: AAP36, INC24, SAD-BSP19 in 2022 table</t>
  </si>
  <si>
    <t>No robust combined Khatri/Arora 2024 statewide cross-tab used</t>
  </si>
  <si>
    <t>Hindu vs Sikh, business vs salaried, locality</t>
  </si>
  <si>
    <t>Farm debt</t>
  </si>
  <si>
    <t>Use booth/locality evidence rather than assuming all Khatri/Arora voters follow the BJP's upper-caste Hindu trend.</t>
  </si>
  <si>
    <t>OBC groups</t>
  </si>
  <si>
    <t>Statewide; diverse Sikh and Hindu communities, many constituency-specific concentrations</t>
  </si>
  <si>
    <t>Very High but fragmented</t>
  </si>
  <si>
    <t>Small/marginal farmers, indebted households, rural labour indirectly</t>
  </si>
  <si>
    <t>Jobs, small business, farm/nonfarm income, reservation/representation, migration</t>
  </si>
  <si>
    <t>Rural statewide</t>
  </si>
  <si>
    <t>Historically divided across Congress/SAD; AAP expanded sharply</t>
  </si>
  <si>
    <t>OBC Sikh respondents: AAP56, INC17, SAD-BSP14, BJP3</t>
  </si>
  <si>
    <t>Official RS data (survey vintage around 2019): 54.4% agricultural HH indebted; avg outstanding loan ₹2.03 lakh; 2026 unions demand waiver.</t>
  </si>
  <si>
    <t>OBC Sikh respondents: INC39, AAP32, SAD14, BJP7</t>
  </si>
  <si>
    <t>INC / AAP / SAD / BJP locally</t>
  </si>
  <si>
    <t>Both Centre/state depending loan type/scheme</t>
  </si>
  <si>
    <t>Saini, Ramgarhia, Lubana, Kamboj, Gujjar and many others have different local structures</t>
  </si>
  <si>
    <t>Survey Finding</t>
  </si>
  <si>
    <t>The swing from AAP-dominant 2022 to INC-leading 2024 is one of the strongest signs that the 2022 coalition was not fixed.</t>
  </si>
  <si>
    <t>Agricultural labourers</t>
  </si>
  <si>
    <t>Crop diversification</t>
  </si>
  <si>
    <t>Rural Punjab; often landless and disproportionately SC</t>
  </si>
  <si>
    <t>Wages, employment days, land access, debt, welfare, food security, housing</t>
  </si>
  <si>
    <t>Congress historically; SAD via village networks; AAP gained in 2022</t>
  </si>
  <si>
    <t>AAP's strong performance in SC-reserved seats and broad Dalit shift suggests substantial support, but labourer-only vote share unavailable</t>
  </si>
  <si>
    <t>Current protests demand pensions/loan relief and farm-worker issues alongside farmers</t>
  </si>
  <si>
    <t>AAP / INC / SAD; unions can be independent</t>
  </si>
  <si>
    <t>Caste, landlessness, union membership, region</t>
  </si>
  <si>
    <t>Inference from survey + labour structure</t>
  </si>
  <si>
    <t>Farmers, groundwater-stressed villages, procurement ecosystem</t>
  </si>
  <si>
    <t>Mainly central/eastern Punjab, especially paddy belt</t>
  </si>
  <si>
    <t>2026 reporting: rice occupied &gt;92% of kharif cropped area; non-paddy acreage fell sharply over decade.</t>
  </si>
  <si>
    <t>State policy + Centre procurement incentives</t>
  </si>
  <si>
    <t>Prof. Baljinder Kaur</t>
  </si>
  <si>
    <t>Groundwater depletion</t>
  </si>
  <si>
    <t>Farmers, rural households, future generations</t>
  </si>
  <si>
    <t>Large parts of Malwa/Doaba and central Punjab</t>
  </si>
  <si>
    <t>2025 assessment: extraction stage 156.36%; 111 of 153 assessment units over-exploited.</t>
  </si>
  <si>
    <t>High long-term; Medium immediate</t>
  </si>
  <si>
    <t>High if linked to farm economics</t>
  </si>
  <si>
    <t>State + Centre + cropping incentives</t>
  </si>
  <si>
    <t>Household electricity / free power</t>
  </si>
  <si>
    <t>Domestic consumers, lower/middle-income households</t>
  </si>
  <si>
    <t>Punjab continues free domestic power up to 300 units/month; 2026-27 budgeted power subsidies ₹15,550cr across categories.</t>
  </si>
  <si>
    <t>Do not equate agricultural labour interests with landowning farmer interests; issue priorities can diverge.</t>
  </si>
  <si>
    <t>Small / marginal farmers</t>
  </si>
  <si>
    <t>State government</t>
  </si>
  <si>
    <t>Across Malwa/Majha/Doaba</t>
  </si>
  <si>
    <t>Debt, MSP, crop prices, input costs, power, groundwater, migration</t>
  </si>
  <si>
    <t>SAD/INC historically; AAP major 2022 beneficiary</t>
  </si>
  <si>
    <t>Part of broad AAP rural coalition; no clean farm-size vote split in Lokniti table</t>
  </si>
  <si>
    <t>Farmer mobilisation remains autonomous and active in 2026</t>
  </si>
  <si>
    <t>AAP / INC / SAD; BJP weaker among farmer respondents in 2024 studies</t>
  </si>
  <si>
    <t>Debt level, crop, irrigation, union, region</t>
  </si>
  <si>
    <t>Industrial power reliability</t>
  </si>
  <si>
    <t>Official issue evidence + interpretation</t>
  </si>
  <si>
    <t>https://rsdebate.nic.in/bitstream/123456789/750563/1/PQ_265_26072024_U485_p100_p103.pdf</t>
  </si>
  <si>
    <t>MSMEs, factories, workers, traders</t>
  </si>
  <si>
    <t>Ludhiana, Khanna, Mandi Gobindgarh, Mohali and industrial clusters</t>
  </si>
  <si>
    <t>Sep 2026 thermal-unit outages triggered industrial power cuts in major clusters.</t>
  </si>
  <si>
    <t>High in affected clusters</t>
  </si>
  <si>
    <t>State power management + generation constraints</t>
  </si>
  <si>
    <t>Industry / MSME business climate</t>
  </si>
  <si>
    <t>MSME owners, traders, workers, urban middle class</t>
  </si>
  <si>
    <t>Ludhiana, Jalandhar, Mohali, Mandi Gobindgarh, Amritsar</t>
  </si>
  <si>
    <t>2026 industry meetings flagged power, roads, congestion, sewerage, law/order and clearance delays.</t>
  </si>
  <si>
    <t>High locally</t>
  </si>
  <si>
    <t>State/municipal governance; Centre on GST/credit/trade</t>
  </si>
  <si>
    <t>Government employment / recruitment</t>
  </si>
  <si>
    <t>Youth, aspirants, contractual employees, families</t>
  </si>
  <si>
    <t>Small-farmer anger can target both Centre and state depending the issue; attribution must be measured.</t>
  </si>
  <si>
    <t>High youth unemployment plus employee agitation keeps government jobs politically salient.</t>
  </si>
  <si>
    <t>Larger farmers</t>
  </si>
  <si>
    <t>Especially agrarian Malwa, parts of Majha/Doaba</t>
  </si>
  <si>
    <t>MSP/procurement, power, water, land policy, diversification, taxes, Centre-state farm policy</t>
  </si>
  <si>
    <t>SAD historically strong, Congress competitive, AAP gained during change wave</t>
  </si>
  <si>
    <t>No robust current farm-size vote cross-tab used</t>
  </si>
  <si>
    <t>Farmer-union politics and procurement dependence remain important</t>
  </si>
  <si>
    <t>SAD / AAP / INC; BJP contested relationship</t>
  </si>
  <si>
    <t>Union affiliation, commodity, land size, diaspora links</t>
  </si>
  <si>
    <t>Interpretation + official economic evidence</t>
  </si>
  <si>
    <t>Government employees / OPS / DA</t>
  </si>
  <si>
    <t>https://www.pib.gov.in/PressReleasePage.aspx?PRID=2127739&amp;lang=2&amp;reg=48</t>
  </si>
  <si>
    <t>Employees, pensioners and household networks</t>
  </si>
  <si>
    <t>Statewide; urban/admin centres</t>
  </si>
  <si>
    <t>Aug 2026 mass casual leave reportedly involved &gt;3 lakh employees; demands included DA, OPS implementation and regularisation.</t>
  </si>
  <si>
    <t>Education</t>
  </si>
  <si>
    <t>Parents, students, teachers, youth</t>
  </si>
  <si>
    <t>AAP's Delhi/Punjab education narrative remains a governance asset; no recent statewide satisfaction measure located.</t>
  </si>
  <si>
    <t>Health</t>
  </si>
  <si>
    <t>All households; poor/elderly particularly</t>
  </si>
  <si>
    <t>2026-27 budget allocates ₹2,000cr for Mukhya Mantri Sehat Yojana; health spending budgeted ₹7,787cr.</t>
  </si>
  <si>
    <t>Economic dependence on procurement makes MSP/water policy more important than abstract party ideology in many contexts.</t>
  </si>
  <si>
    <t>Youth</t>
  </si>
  <si>
    <t>Statewide; especially migration-heavy rural districts and urban education/employment centres</t>
  </si>
  <si>
    <t>Jobs, government recruitment, migration, drugs, education, policing, aspirations</t>
  </si>
  <si>
    <t>High change propensity; AAP's outsider/change narrative resonated strongly in 2022</t>
  </si>
  <si>
    <t>State finances / debt</t>
  </si>
  <si>
    <t>2022 development/change/unemployment were major stated concerns; AAP/Mann had strong change appeal</t>
  </si>
  <si>
    <t>2026 PLFS: 15-29 unemployment 22.3%, above 15.9% national; party preferences not safely inferred</t>
  </si>
  <si>
    <t>AAP / INC / BJP / SAD / emerging forces</t>
  </si>
  <si>
    <t>Education, gender, rural/urban, migration plans, class</t>
  </si>
  <si>
    <t>Official labour data + survey issue evidence</t>
  </si>
  <si>
    <t>https://timesofindia.indiatimes.com/city/chandigarh/punjab-youth-unemployment-up-himachal-pradesh-tops-region-plfs-data/amp_articleshow/133281788.cms</t>
  </si>
  <si>
    <t>Indirectly all voters; employees, welfare beneficiaries, contractors</t>
  </si>
  <si>
    <t>2026-27 fiscal deficit budgeted 4.1% GSDP; liabilities 45.1% GSDP; revenue deficit 2.2%.</t>
  </si>
  <si>
    <t>High capacity risk, lower direct salience</t>
  </si>
  <si>
    <t>Sukhveer Singh Maiserkhana</t>
  </si>
  <si>
    <t>State govt plus inherited structural debt</t>
  </si>
  <si>
    <t>Welfare delivery</t>
  </si>
  <si>
    <t>Low/middle-income households, women, health users, power consumers</t>
  </si>
  <si>
    <t>Free power and health schemes remain key; 2026 budget adds women transfer: ₹1,000/month, ₹1,500 for SC women, ₹9,300cr allocation.</t>
  </si>
  <si>
    <t>Low-Medium if delivered; High if delayed</t>
  </si>
  <si>
    <t>Women / economic security</t>
  </si>
  <si>
    <t>Women 18+, especially low-income and SC women</t>
  </si>
  <si>
    <t>2026 budget announced direct transfer differentiated by SC status; young-women unemployment 31.4% in Apr-Jun 2026.</t>
  </si>
  <si>
    <t>State govt on transfer/jobs; broader economy shared</t>
  </si>
  <si>
    <t>Farmer protests</t>
  </si>
  <si>
    <t>Youth is more plausibly an issue/aspiration bloc than a stable party bloc.</t>
  </si>
  <si>
    <t>First-time voters</t>
  </si>
  <si>
    <t>Statewide; colleges, coaching, vocational, rural youth</t>
  </si>
  <si>
    <t>Farmers, rural labour, transport/market networks</t>
  </si>
  <si>
    <t>First job, migration, drugs, education quality, digital politics, identity</t>
  </si>
  <si>
    <t>Statewide with Malwa/Majha mobilisation hubs</t>
  </si>
  <si>
    <t>No stable historical attachment by definition</t>
  </si>
  <si>
    <t>No credible statewide 2022 first-time-voter party table used</t>
  </si>
  <si>
    <t>Sep 2026 seven-day sit-in demands included legal MSP, loan waiver, sugarcane price, pensions, water and federal issues.</t>
  </si>
  <si>
    <t>Panjab University student election is a micro-signal only and must not be generalized</t>
  </si>
  <si>
    <t>AAP / BJP / INC / SAD / emerging</t>
  </si>
  <si>
    <t>Split: Centre and state depending demand</t>
  </si>
  <si>
    <t>College-going vs non-college, rural/urban, gender, migration intention</t>
  </si>
  <si>
    <t>Consultant Hypothesis</t>
  </si>
  <si>
    <t>https://indianexpress.com/article/cities/chandigarh/panjab-university-poll-results-political-narrative-punjab-bjp-aap-10858238/</t>
  </si>
  <si>
    <t>Centre–Punjab relations / federalism</t>
  </si>
  <si>
    <t>Identity-sensitive voters, farmers, employees, political activists</t>
  </si>
  <si>
    <t>Statewide; heightened in Panthic/rural seats</t>
  </si>
  <si>
    <t>Chandigarh/BBMB/water disputes have repeatedly produced cross-party Punjab responses.</t>
  </si>
  <si>
    <t>Depends issue: Centre vs state rights</t>
  </si>
  <si>
    <t>Chandigarh status</t>
  </si>
  <si>
    <t>Punjab-identity voters; political class</t>
  </si>
  <si>
    <t>Statewide symbolic salience</t>
  </si>
  <si>
    <t>2025 proposed constitutional-administration change triggered all-party backlash; MHA clarified no final move/bill for Winter Session.</t>
  </si>
  <si>
    <t>Medium conditional</t>
  </si>
  <si>
    <t>Centre</t>
  </si>
  <si>
    <t>Build a dedicated youth survey rather than extrapolating campus results to Punjab's entire first-time electorate.</t>
  </si>
  <si>
    <t>Women</t>
  </si>
  <si>
    <t>Household income, welfare, health, drugs in family, safety, jobs, education, power bills</t>
  </si>
  <si>
    <t>No evidence of a uniform gender bloc; all major parties compete</t>
  </si>
  <si>
    <t>AAP welfare/governance pitch likely mattered, but no robust women-only vote table used here</t>
  </si>
  <si>
    <t>SYL / river water / BBMB</t>
  </si>
  <si>
    <t>2026 budget announces Rs1,000/month women 18+, Rs1,500 SC women; young-women unemployment 31.4% Apr-Jun 2026</t>
  </si>
  <si>
    <t>AAP / INC / BJP / SAD</t>
  </si>
  <si>
    <t>Age, caste, class, employment, rural/urban, household migration</t>
  </si>
  <si>
    <t>Official policy + labour data; hypothesis on electoral effect</t>
  </si>
  <si>
    <t>Farmers, Punjab-identity voters</t>
  </si>
  <si>
    <t>Statewide; agricultural belts</t>
  </si>
  <si>
    <t>https://prsindia.org/budgets/states/punjab-budget-analysis-2026-27</t>
  </si>
  <si>
    <t>Water-sharing and BBMB representation remain live federal disputes; 2026 farmer mobilisation includes water agreements.</t>
  </si>
  <si>
    <t>Centre/interstate + state defence of Punjab claim</t>
  </si>
  <si>
    <t>Sacrilege / justice</t>
  </si>
  <si>
    <t>Panthic Sikh voters, affected families</t>
  </si>
  <si>
    <t>Majha and parts of Malwa; statewide symbolic relevance</t>
  </si>
  <si>
    <t>2015 sacrilege/Behbal Kalan legacy remains politically active in 2026 investigations and party conflict.</t>
  </si>
  <si>
    <t>High in Panthic seats</t>
  </si>
  <si>
    <t>High for actors seen as credible</t>
  </si>
  <si>
    <t>State justice process; legacy burden especially SAD</t>
  </si>
  <si>
    <t>Religious / Panthic politics incl. Sikh prisoners</t>
  </si>
  <si>
    <t>The women-transfer scheme could become electorally important only if delivery, awareness and credibility are verified on ground.</t>
  </si>
  <si>
    <t>Panthic voters, Sikh institutions</t>
  </si>
  <si>
    <t>Government employees / pensioners</t>
  </si>
  <si>
    <t>Majha/Malwa pockets; statewide symbolic</t>
  </si>
  <si>
    <t>Statewide; concentrated in administrative/urban centres but family networks broad</t>
  </si>
  <si>
    <t>2024 independent breakthroughs and recurring prisoner/institutional issues show alternative Panthic space.</t>
  </si>
  <si>
    <t>OPS implementation, DA arrears, regularisation, pay scales, service conditions</t>
  </si>
  <si>
    <t>Historically politically active but not a single-party bloc</t>
  </si>
  <si>
    <t>High for credible Panthic challengers</t>
  </si>
  <si>
    <t>Not isolated in 2022 survey</t>
  </si>
  <si>
    <t>Multiple institutions/parties; often Centre-state overlap</t>
  </si>
  <si>
    <t>Aug 2026 mass casual leave reportedly involved &gt;3 lakh employees; OPS notification exists but implementation remains disputed</t>
  </si>
  <si>
    <t>INC / AAP / SAD / BJP all court this bloc</t>
  </si>
  <si>
    <t>High issue volatility</t>
  </si>
  <si>
    <t>Department, union, permanent/contract, age/pension status</t>
  </si>
  <si>
    <t>Current reporting</t>
  </si>
  <si>
    <t>https://indianexpress.com/article/cities/chandigarh/punjab-government-moves-to-act-against-employees-absent-during-maha-hartal-10855425/</t>
  </si>
  <si>
    <t>Border security</t>
  </si>
  <si>
    <t>Dr.Vijay Singla</t>
  </si>
  <si>
    <t>Border residents, urban security voters, farmers near border</t>
  </si>
  <si>
    <t>Pathankot, Gurdaspur, Amritsar, Tarn Taran, Ferozepur, Fazilka</t>
  </si>
  <si>
    <t>Cross-border drone/arms/narcotics threat officially acknowledged and remains a live security issue.</t>
  </si>
  <si>
    <t>Medium-High for BJP; also state-policing issue</t>
  </si>
  <si>
    <t>Centre/BSF + state police</t>
  </si>
  <si>
    <t>Smuggling / drone narcotics</t>
  </si>
  <si>
    <t>Border communities, youth/families statewide</t>
  </si>
  <si>
    <t>Border districts with downstream statewide effect</t>
  </si>
  <si>
    <t>Recent border cases continue involving heroin, weapons and cross-border networks.</t>
  </si>
  <si>
    <t>Centre and state jointly</t>
  </si>
  <si>
    <t>A concentrated grievance network can influence households beyond direct employee numbers, especially in close seats.</t>
  </si>
  <si>
    <t>Traders</t>
  </si>
  <si>
    <t>Urban markets across Punjab</t>
  </si>
  <si>
    <t>High in urban seats</t>
  </si>
  <si>
    <t>Demand, GST/taxes, law/order/extortion, power, municipal services, Centre-state business environment</t>
  </si>
  <si>
    <t>BJP traditional urban channel, Congress significant, AAP gained urban seats in 2022</t>
  </si>
  <si>
    <t>AAP's broad 2022 urban breakthrough shows BJP is not automatic owner</t>
  </si>
  <si>
    <t>2024 BJP urban surge strengthens it, but INC/AAP remained competitive</t>
  </si>
  <si>
    <t>Business size, community, market association, city</t>
  </si>
  <si>
    <t>Journalist + Phase 2</t>
  </si>
  <si>
    <t>BJP has the clearest growth path, but candidate/local government performance can keep the vote fragmented.</t>
  </si>
  <si>
    <t>MSME / business communities</t>
  </si>
  <si>
    <t>Ludhiana, Jalandhar, Mandi Gobindgarh, Mohali/Dera Bassi, Amritsar and industrial towns</t>
  </si>
  <si>
    <t>Power reliability/cost, infrastructure, approvals, credit, law/order, logistics, labour</t>
  </si>
  <si>
    <t>Congress/BJP historically; AAP incumbent must defend delivery</t>
  </si>
  <si>
    <t>No separate survey estimate used</t>
  </si>
  <si>
    <t>2026 industrial associations flagged power, civic infrastructure, congestion, law/order and clearances</t>
  </si>
  <si>
    <t>Sector, scale, exporter/domestic, owner/manager</t>
  </si>
  <si>
    <t>Economic-development ownership will be decided in industrial clusters, not by statewide rhetoric alone.</t>
  </si>
  <si>
    <t>Industrial workers</t>
  </si>
  <si>
    <t>Ludhiana/Jalandhar/Mohali/industrial belts</t>
  </si>
  <si>
    <t>Employment security, wages, housing, transport, healthcare, inflation</t>
  </si>
  <si>
    <t>Congress/AAP/BJP compete; union and migrant status matter</t>
  </si>
  <si>
    <t>No robust subgroup estimate</t>
  </si>
  <si>
    <t>Power/industrial slowdown can translate into job insecurity, but voting response unknown</t>
  </si>
  <si>
    <t>AAP / INC / BJP</t>
  </si>
  <si>
    <t>Local/migrant, formal/informal, industry</t>
  </si>
  <si>
    <t>Consultant Hypothesis grounded in labour/economic conditions</t>
  </si>
  <si>
    <t>Gurpreet Singh Banawali</t>
  </si>
  <si>
    <t>Worker preferences should be researched separately from business-owner preferences.</t>
  </si>
  <si>
    <t>Migrant-linked households</t>
  </si>
  <si>
    <t>Rural statewide; PAU study found highest household migration incidence in Majha, then Malwa, then Doaba</t>
  </si>
  <si>
    <t>Jobs, education, visas, debt financing migration, property/security, drugs, quality of life</t>
  </si>
  <si>
    <t>All parties; NRI involvement historically visible in AAP and regional campaigns</t>
  </si>
  <si>
    <t>PAU found 13.34% rural households had at least one overseas migrant; 74% of migration occurred since 2016</t>
  </si>
  <si>
    <t>Migration remains a cross-party grievance rather than a proven party identity</t>
  </si>
  <si>
    <t>AAP / INC / SAD / BJP; candidate/local networks</t>
  </si>
  <si>
    <t>Destination, visa type, farm size, region, remittance dependence</t>
  </si>
  <si>
    <t>Academic/official university research</t>
  </si>
  <si>
    <t>https://pau.edu/index.php?DO=viewEventDetail&amp;_act=manageEvent&amp;intID=8569</t>
  </si>
  <si>
    <t>Migration is politically powerful because it turns 'jobs' into a household-level referendum on Punjab's future.</t>
  </si>
  <si>
    <t>NRIs / NRI-linked families</t>
  </si>
  <si>
    <t>Historic strength in Doaba; extensive links across Majha and Malwa too</t>
  </si>
  <si>
    <t>High influence, smaller direct electorate</t>
  </si>
  <si>
    <t>Property disputes, travel, investment, governance, identity, family opportunities</t>
  </si>
  <si>
    <t>Have funded/assisted multiple parties and candidates; AAP benefited from diaspora enthusiasm in earlier cycles</t>
  </si>
  <si>
    <t>No clean statewide voting estimate</t>
  </si>
  <si>
    <t>PAU shows contemporary migration is no longer a Doaba-only phenomenon</t>
  </si>
  <si>
    <t>All major parties / independents</t>
  </si>
  <si>
    <t>High candidate-dependence</t>
  </si>
  <si>
    <t>Country, generation, property, local clan/village links</t>
  </si>
  <si>
    <t>Academic research + interpretation</t>
  </si>
  <si>
    <t>Treat NRI influence as money, narrative and family-network influence—not simply as an NRI vote bloc.</t>
  </si>
  <si>
    <t>Religious / Panthic voters</t>
  </si>
  <si>
    <t>Majha, Tarn Taran, parts of Malwa/Faridkot-Bathinda; statewide institutions</t>
  </si>
  <si>
    <t>Very High in selected seats</t>
  </si>
  <si>
    <t>Sacrilege justice, Sikh institutions, prisoners, identity, Centre-state relations, water/federalism</t>
  </si>
  <si>
    <t>SAD historically strongest Panthic vehicle; Congress/AAP gained as SAD legitimacy weakened</t>
  </si>
  <si>
    <t>AAP absorbed some anti-SAD Panthic/change vote in 2017/2022</t>
  </si>
  <si>
    <t>2024 independent victories in Khadoor Sahib/Faridkot and SAD's weak segment count show fragmentation</t>
  </si>
  <si>
    <t>SAD / alternative Panthic / AAP / INC</t>
  </si>
  <si>
    <t>Institutional vs radical/alternative vs governance-focused Sikh voters</t>
  </si>
  <si>
    <t>https://indianexpress.com/article/cities/chandigarh/in-panthic-belt-new-challengers-emerge-for-beleaguered-sadb-9372374/</t>
  </si>
  <si>
    <t>Budh Ram</t>
  </si>
  <si>
    <t>Disaffection from SAD is not equivalent to secularisation; some of it has shifted to alternative Panthic candidates.</t>
  </si>
  <si>
    <t>Dera-influenced voters</t>
  </si>
  <si>
    <t>Localized: Ravidassia institutions in Doaba; Dera Sacha Sauda influence in selected Malwa pockets; other deras dispersed</t>
  </si>
  <si>
    <t>Medium overall; High locally</t>
  </si>
  <si>
    <t>Community identity, welfare/service networks, local leadership, dignity</t>
  </si>
  <si>
    <t>All major parties have historically courted dera leadership</t>
  </si>
  <si>
    <t>Lokniti 2022: 75.7% said they followed no dera; named affiliations were small in statewide sample</t>
  </si>
  <si>
    <t>No evidence supports a single statewide dera-directed vote</t>
  </si>
  <si>
    <t>All parties depending on dera/seat</t>
  </si>
  <si>
    <t>High locally, low statewide coherence</t>
  </si>
  <si>
    <t>Dera, caste, region, degree of religious attachment</t>
  </si>
  <si>
    <t>Survey Finding + academic research</t>
  </si>
  <si>
    <t>Use dera mapping seat-by-seat; statewide 'dera vote' assumptions are analytically weak.</t>
  </si>
  <si>
    <t>Barinder Kumar Goyal Vakeel</t>
  </si>
  <si>
    <t>Harpal Singh Cheema</t>
  </si>
  <si>
    <t>Aman Arora</t>
  </si>
  <si>
    <t xml:space="preserve">STATEWIDE PARTY PERFORMANCE </t>
  </si>
  <si>
    <t>Election</t>
  </si>
  <si>
    <t>Type</t>
  </si>
  <si>
    <t>Contested</t>
  </si>
  <si>
    <t>Won</t>
  </si>
  <si>
    <t>Votes</t>
  </si>
  <si>
    <t>Std Vote Share %</t>
  </si>
  <si>
    <t>Seat Share %</t>
  </si>
  <si>
    <t>Seat Change Same Type</t>
  </si>
  <si>
    <t>Vote Change pp Same Type</t>
  </si>
  <si>
    <t>Assembly</t>
  </si>
  <si>
    <t>Others</t>
  </si>
  <si>
    <t>2022 PUNJAB ASSEMBLY CONSTITUENCY DATABASE</t>
  </si>
  <si>
    <t>NOTA</t>
  </si>
  <si>
    <t>Labh Singh Ugoke</t>
  </si>
  <si>
    <t>AC No</t>
  </si>
  <si>
    <t>Assembly Constituency</t>
  </si>
  <si>
    <t>Winner</t>
  </si>
  <si>
    <t>Winning Party</t>
  </si>
  <si>
    <t>Winner Votes</t>
  </si>
  <si>
    <t>Winner 
Vote Share %</t>
  </si>
  <si>
    <t>Runner-up</t>
  </si>
  <si>
    <t>Runner-up Party</t>
  </si>
  <si>
    <t>Runner-up Votes</t>
  </si>
  <si>
    <t>Runner up 
Vote Share %*</t>
  </si>
  <si>
    <t>Victory Margin</t>
  </si>
  <si>
    <t>Margin %</t>
  </si>
  <si>
    <t>Turnout %</t>
  </si>
  <si>
    <t>Total Electors</t>
  </si>
  <si>
    <t>Dinesh Singh (Babbu)</t>
  </si>
  <si>
    <t>SC</t>
  </si>
  <si>
    <t>Joginder Pal</t>
  </si>
  <si>
    <t>Lok Sabha</t>
  </si>
  <si>
    <t>Amit Vij</t>
  </si>
  <si>
    <t>Gurbachan Singh Babehali</t>
  </si>
  <si>
    <t>Shamsher Singh</t>
  </si>
  <si>
    <t>Guriqbal Singh Mahal</t>
  </si>
  <si>
    <t>Ashwani Sekhri</t>
  </si>
  <si>
    <t>Rajanbir Singh</t>
  </si>
  <si>
    <t>Lakhbir Singh Lodhinangal</t>
  </si>
  <si>
    <t>Sukhjinder Singh Randhawa</t>
  </si>
  <si>
    <t>Ravikaran Singh Kahlon</t>
  </si>
  <si>
    <t>Amarpal Singh Bonny Ajnala</t>
  </si>
  <si>
    <t>Kuldeep Singh Kala Dhillon</t>
  </si>
  <si>
    <t>Vir Singh Lopoke</t>
  </si>
  <si>
    <t>Sukhjinder Raj Singh (Lalli)</t>
  </si>
  <si>
    <t>Sukhwinder Singh "Danny" Bandala</t>
  </si>
  <si>
    <t>Anil Joshi</t>
  </si>
  <si>
    <t>Raj Kumar Verka</t>
  </si>
  <si>
    <t>Om Parkash Soni</t>
  </si>
  <si>
    <t>Navjot Singh Sidhu</t>
  </si>
  <si>
    <t>Talbir Singh Gill</t>
  </si>
  <si>
    <t>Gulzar Singh Ranike</t>
  </si>
  <si>
    <t>Dr. Kashmir Singh Sohal</t>
  </si>
  <si>
    <t>Virsa Singh Valtoha</t>
  </si>
  <si>
    <t>Adaish Partap Singh Kairon</t>
  </si>
  <si>
    <t>Ramanjeet Singh Sahota Sikki</t>
  </si>
  <si>
    <t>Kulwant Singh Pandori</t>
  </si>
  <si>
    <t>Santokh Singh Bhalaipur</t>
  </si>
  <si>
    <t>Bibi Jagir Kaur</t>
  </si>
  <si>
    <t>Manju Rana</t>
  </si>
  <si>
    <t>IND</t>
  </si>
  <si>
    <t>Sajjan Singh Cheema</t>
  </si>
  <si>
    <t>Joginder Singh Mann</t>
  </si>
  <si>
    <t>Baldev Singh Khaira</t>
  </si>
  <si>
    <t>Gurpartap Singh Wadala</t>
  </si>
  <si>
    <t>Bachitar Singh Kohar</t>
  </si>
  <si>
    <t>Chaudhary Surinder Singh</t>
  </si>
  <si>
    <t>Sushil Kumar Rinku</t>
  </si>
  <si>
    <t>Rajinder Beri</t>
  </si>
  <si>
    <t>K D Bhandari</t>
  </si>
  <si>
    <t>Surinder Singh Sodhi</t>
  </si>
  <si>
    <t>Mohammad Jamil Ur Rahman</t>
  </si>
  <si>
    <t>Pawan Kumar Tinu</t>
  </si>
  <si>
    <t>Prof. Gurdhian Singh Multani</t>
  </si>
  <si>
    <t>Arun Dogra</t>
  </si>
  <si>
    <t>Sangat Singh Gilzian</t>
  </si>
  <si>
    <t>Pawan Kumar Adia</t>
  </si>
  <si>
    <t>Sunder Sham Arora</t>
  </si>
  <si>
    <t>Dr. Raj Kumar</t>
  </si>
  <si>
    <t>Harminder Singh</t>
  </si>
  <si>
    <t>Amarpreet Singh Lally</t>
  </si>
  <si>
    <t>Sukhwinder Kumar Sukhi Dr.</t>
  </si>
  <si>
    <t>Tarlochan Singh</t>
  </si>
  <si>
    <t>Lalit Mohan Ballu</t>
  </si>
  <si>
    <t>2017 PUNJAB ASSEMBLY CONSTITUENCY DATABASE</t>
  </si>
  <si>
    <t>Sunita Rani</t>
  </si>
  <si>
    <t>Kanwar Pal Singh</t>
  </si>
  <si>
    <t>Brinder Singh Dhillon</t>
  </si>
  <si>
    <t>Prof. Jaswant Singh Gajjan Majra</t>
  </si>
  <si>
    <t>Charanjit Singh Channi</t>
  </si>
  <si>
    <t>Runner-up 
Vote Share %*</t>
  </si>
  <si>
    <t>Ranjit Singh Gill</t>
  </si>
  <si>
    <t>Dinesh Singh</t>
  </si>
  <si>
    <t>Amit Singh</t>
  </si>
  <si>
    <t>Balbir Singh Sidhu</t>
  </si>
  <si>
    <t>Seema Kumari</t>
  </si>
  <si>
    <t>Gurpreet Singh</t>
  </si>
  <si>
    <t>Amit</t>
  </si>
  <si>
    <t>Ashwani Kumar</t>
  </si>
  <si>
    <t>Kuljit Singh Nagra</t>
  </si>
  <si>
    <t>Gurpreet Singh Raju Khanna</t>
  </si>
  <si>
    <t>Jasdeep Kaur Yadu</t>
  </si>
  <si>
    <t>Bishan Dass</t>
  </si>
  <si>
    <t>Paramjit Singh Dhillon</t>
  </si>
  <si>
    <t>Fatehjang Singh Bajwa</t>
  </si>
  <si>
    <t>Sewa Singh</t>
  </si>
  <si>
    <t>Vikram Singh Bajwa</t>
  </si>
  <si>
    <t>Sanjeev Talwar</t>
  </si>
  <si>
    <t>Satinderpal Singh Tajpuri</t>
  </si>
  <si>
    <t>Balwinder Singh</t>
  </si>
  <si>
    <t>Manjit Singh</t>
  </si>
  <si>
    <t>Kamaljit Singh Karwal</t>
  </si>
  <si>
    <t>Nirmal Singh Kahlon</t>
  </si>
  <si>
    <t>Gurdev Sharma Debi</t>
  </si>
  <si>
    <t>Sucha Singh Langah</t>
  </si>
  <si>
    <t>Gurpreet Bassi Gogi</t>
  </si>
  <si>
    <t>Bharat Bhushan Ashu</t>
  </si>
  <si>
    <t>Harpartap Singh</t>
  </si>
  <si>
    <t>Amarpal Singh Bony Ajnala</t>
  </si>
  <si>
    <t>Bhagwant Mann</t>
  </si>
  <si>
    <t>Parveen Bansal</t>
  </si>
  <si>
    <t>Darshan Singh Shivalik</t>
  </si>
  <si>
    <t>Bikram Singh Majithia</t>
  </si>
  <si>
    <t>Lakhvir Singh</t>
  </si>
  <si>
    <t>Sukhwinder Singh Danny Bandala</t>
  </si>
  <si>
    <t>Dalbir Singh</t>
  </si>
  <si>
    <t>Manpreet Singh Ayali</t>
  </si>
  <si>
    <t>Capt. Sandeep Singh Sandhu</t>
  </si>
  <si>
    <t>Sunil Dutti</t>
  </si>
  <si>
    <t>Kamil Amar Singh</t>
  </si>
  <si>
    <t>Rakesh Gill</t>
  </si>
  <si>
    <t>S.R. Kaler</t>
  </si>
  <si>
    <t>Tarun Chugh</t>
  </si>
  <si>
    <t>Bhupinder Singh Sahoke</t>
  </si>
  <si>
    <t>Rajesh Kumar Honey</t>
  </si>
  <si>
    <t>Tirath Singh Mahla</t>
  </si>
  <si>
    <t>Inderbir Singh Bolaria</t>
  </si>
  <si>
    <t>Malvika Sood</t>
  </si>
  <si>
    <t>Tarsem Singh D.C.</t>
  </si>
  <si>
    <t>Sukhjit Singh Kaka Lohgarh</t>
  </si>
  <si>
    <t>Dr. Dharambir Agnihotri</t>
  </si>
  <si>
    <t>Janmeja Singh Sekhon</t>
  </si>
  <si>
    <t>Sukhpal Singh Bhullar</t>
  </si>
  <si>
    <t>Virsa Singh</t>
  </si>
  <si>
    <t>Parminder Singh Pinki</t>
  </si>
  <si>
    <t>Harminder Singh Gill</t>
  </si>
  <si>
    <t>Adesh Partap Singh Kairon</t>
  </si>
  <si>
    <t>Joginder Singh Jindu</t>
  </si>
  <si>
    <t>Ravinder Singh Brahampura</t>
  </si>
  <si>
    <t>Vardev Singh</t>
  </si>
  <si>
    <t>Santokh Singh</t>
  </si>
  <si>
    <t>Narinder Kaur Bharaj</t>
  </si>
  <si>
    <t>Sukhbir Singh Badal</t>
  </si>
  <si>
    <t>Yuvraj Bhupinder Singh</t>
  </si>
  <si>
    <t>Surjit Kumar Jyani</t>
  </si>
  <si>
    <t>Rana Gurjit Singh</t>
  </si>
  <si>
    <t>Advocate Paramjit Singh</t>
  </si>
  <si>
    <t>Kuldeep Kumar Alias Deep Kamboj</t>
  </si>
  <si>
    <t>Navtej Singh Cheema</t>
  </si>
  <si>
    <t>Upinderjit Kaur</t>
  </si>
  <si>
    <t>Vandana Sangwal</t>
  </si>
  <si>
    <t>Som Parkash</t>
  </si>
  <si>
    <t>Parkash Singh Badal</t>
  </si>
  <si>
    <t>Amrinder Singh Raja Warring</t>
  </si>
  <si>
    <t>Gurpratap Singh Wadala</t>
  </si>
  <si>
    <t>Sarwan Singh Hayer</t>
  </si>
  <si>
    <t>Harpreet Singh</t>
  </si>
  <si>
    <t>Ajit Singh Kohar</t>
  </si>
  <si>
    <t>Hardev Singh Ladi</t>
  </si>
  <si>
    <t>Kanwarjit Singh</t>
  </si>
  <si>
    <t>Seth Sat Paul</t>
  </si>
  <si>
    <t>Parambans Singh 'Bunty Romana'</t>
  </si>
  <si>
    <t>Mahinder Pal Bhagat</t>
  </si>
  <si>
    <t>Ajaipal Singh Sandhu</t>
  </si>
  <si>
    <t>Manoranjan Kalia</t>
  </si>
  <si>
    <t>Manjit Singh Alias Suba Singh</t>
  </si>
  <si>
    <t>Sikander Singh Maluka</t>
  </si>
  <si>
    <t>Sarabjit Singh Makkar</t>
  </si>
  <si>
    <t>Darshan Singh Kotfatta</t>
  </si>
  <si>
    <t>Gurdev Singh Dev Maan</t>
  </si>
  <si>
    <t>Mohinder Singh Kaypee</t>
  </si>
  <si>
    <t>Manpreet Singh Badal</t>
  </si>
  <si>
    <t>Rajnish Kumar Babbi</t>
  </si>
  <si>
    <t>Arunesh Kumar</t>
  </si>
  <si>
    <t>Parkash Singh Bhatti</t>
  </si>
  <si>
    <t>Sukhjit Kaur</t>
  </si>
  <si>
    <t>Jeetmohinder Singh Sidhu</t>
  </si>
  <si>
    <t>Arbinder Singh Rasulpur</t>
  </si>
  <si>
    <t>Lakha Singh Sidhana</t>
  </si>
  <si>
    <t>Dr. Ravjot Singh</t>
  </si>
  <si>
    <t>Shubhdeep Singh Sidhu Moose Wala</t>
  </si>
  <si>
    <t>Tikshan Sud</t>
  </si>
  <si>
    <t>Bikram Singh</t>
  </si>
  <si>
    <t>Sohan Singh Thandal</t>
  </si>
  <si>
    <t>Dr. Nishan Singh Hakamwala</t>
  </si>
  <si>
    <t>Surinder Singh Heer</t>
  </si>
  <si>
    <t>Parminder Singh Dhindsa</t>
  </si>
  <si>
    <t>SAD(S)</t>
  </si>
  <si>
    <t>Sukhwinder Kumar</t>
  </si>
  <si>
    <t>Harjot</t>
  </si>
  <si>
    <t>Gulzar Singh Moonak</t>
  </si>
  <si>
    <t>Angad Singh</t>
  </si>
  <si>
    <t>Jarnail Singh Wahid</t>
  </si>
  <si>
    <t>Jaswinder Singh Dhiman S/O Amarjit Singh</t>
  </si>
  <si>
    <t>Darshan Lal</t>
  </si>
  <si>
    <t>Nand Lal</t>
  </si>
  <si>
    <t>Gurmeet Singh Meet Hayer</t>
  </si>
  <si>
    <t>Kulwant Singh Keetu</t>
  </si>
  <si>
    <t>Dr. Parminder Sharma</t>
  </si>
  <si>
    <t>Amarjit Singh Sandoa</t>
  </si>
  <si>
    <t>Gurjant Singh Kattu</t>
  </si>
  <si>
    <t>SAD(A)</t>
  </si>
  <si>
    <t>Razia Sultana</t>
  </si>
  <si>
    <t>Dr.Balbir Singh</t>
  </si>
  <si>
    <t>Kanwar Sandhu</t>
  </si>
  <si>
    <t>Simranjit Singh Mann</t>
  </si>
  <si>
    <t>Jagmohan Singh Kang</t>
  </si>
  <si>
    <t>Dalvir Singh Goldy</t>
  </si>
  <si>
    <t>Narinder Singh</t>
  </si>
  <si>
    <t>Vijay Inder Singla</t>
  </si>
  <si>
    <t>Kabir Dass</t>
  </si>
  <si>
    <t>Didar Singh Bhatti</t>
  </si>
  <si>
    <t>Randeep Singh</t>
  </si>
  <si>
    <t>Mohit Mohindra</t>
  </si>
  <si>
    <t>Neena Mittal</t>
  </si>
  <si>
    <t>Jagdish Kumar Jagga</t>
  </si>
  <si>
    <t>Gurkirat Singh Kotli</t>
  </si>
  <si>
    <t>Anil Dutt Phally</t>
  </si>
  <si>
    <t>Kuljit Singh Randhawa</t>
  </si>
  <si>
    <t>Deepinder Singh Dhillon</t>
  </si>
  <si>
    <t>Amrik Singh Dhillon</t>
  </si>
  <si>
    <t>Sarbans Singh Manki</t>
  </si>
  <si>
    <t>Gurlal Ghanaur</t>
  </si>
  <si>
    <t>Sharanjit Singh Dhillon</t>
  </si>
  <si>
    <t>Madan Lal</t>
  </si>
  <si>
    <t>Satwinder Kaur Bitti</t>
  </si>
  <si>
    <t>Harmit Singh Pathanmajra</t>
  </si>
  <si>
    <t>Harinder Pal Singh Chandumajra</t>
  </si>
  <si>
    <t>Ajit Pal Singh Kohli</t>
  </si>
  <si>
    <t>Amarinder Singh</t>
  </si>
  <si>
    <t>Chetan Singh Jouramajra</t>
  </si>
  <si>
    <t>Surjit Singh Rakhra</t>
  </si>
  <si>
    <t>Kulwant Singh Bazigar</t>
  </si>
  <si>
    <t>Vaninder Kaur Loomba</t>
  </si>
  <si>
    <t>Balvinder Singh Bains</t>
  </si>
  <si>
    <t>LIP</t>
  </si>
  <si>
    <t>Bhupinder Singh Sidhu</t>
  </si>
  <si>
    <t>Simarjeet Singh Bains</t>
  </si>
  <si>
    <t>Kamal Jit Singh Karwal</t>
  </si>
  <si>
    <t>Surinder Kumar Dawar</t>
  </si>
  <si>
    <t>Bharat Bhushan (Ashu)</t>
  </si>
  <si>
    <t>Ahbaab Singh Grewal</t>
  </si>
  <si>
    <t>Rakesh Pandey</t>
  </si>
  <si>
    <t>Kuldeep Singh Vaid(Bulara)</t>
  </si>
  <si>
    <t>Lakhvir Singh Lakha</t>
  </si>
  <si>
    <t>Gurpreet Singh Lapran</t>
  </si>
  <si>
    <t>Harvinder Singh Phoolka</t>
  </si>
  <si>
    <t>Jagtar Singh Jagga Hissowal</t>
  </si>
  <si>
    <t>Amar Singh</t>
  </si>
  <si>
    <t>Saravjit Kaur Manuke</t>
  </si>
  <si>
    <t>Malkit Singh Dakha</t>
  </si>
  <si>
    <t>Rajwinder Kaur</t>
  </si>
  <si>
    <t>Darshan Singh Brar</t>
  </si>
  <si>
    <t>Gurbinder Singh Kang</t>
  </si>
  <si>
    <t>Harjot Kamal Singh</t>
  </si>
  <si>
    <t>Ramesh Grover</t>
  </si>
  <si>
    <t>Sukhjit Singh</t>
  </si>
  <si>
    <t>Tota Singh</t>
  </si>
  <si>
    <t>Kulbir Singh</t>
  </si>
  <si>
    <t>Hari Singh Zira</t>
  </si>
  <si>
    <t>Sukhpal Singh</t>
  </si>
  <si>
    <t>Satkar Kaur</t>
  </si>
  <si>
    <t>Gurmeet Singh Sodhi</t>
  </si>
  <si>
    <t>Davinder Singh Ghubaya</t>
  </si>
  <si>
    <t>Arun Narang</t>
  </si>
  <si>
    <t>Sunil Jakhar</t>
  </si>
  <si>
    <t>Nathu Ram</t>
  </si>
  <si>
    <t>Parkash Singh</t>
  </si>
  <si>
    <t>Amrinder Singh @ Raja Warring</t>
  </si>
  <si>
    <t>Hardeep Singh @ Dimpy Dhillon</t>
  </si>
  <si>
    <t>Ajaib Singh Bhatti</t>
  </si>
  <si>
    <t>Darshan Singh</t>
  </si>
  <si>
    <t>Karan Kaur</t>
  </si>
  <si>
    <t>Kusaldeep Singh Kiki Dhillon</t>
  </si>
  <si>
    <t>Bhai Harnirpal Singh Kukku</t>
  </si>
  <si>
    <t>Baldev Singh</t>
  </si>
  <si>
    <t>Mohammad Sadique</t>
  </si>
  <si>
    <t>Gurpreet Singh Kangar</t>
  </si>
  <si>
    <t>Pritam Singh Kotbhai</t>
  </si>
  <si>
    <t>Deepak Bansal</t>
  </si>
  <si>
    <t>Rupinder Kaur Ruby</t>
  </si>
  <si>
    <t>Er. Amit Rattan Kotfatta</t>
  </si>
  <si>
    <t>Khushbaz Singh Jatana</t>
  </si>
  <si>
    <t>Jagdev Singh</t>
  </si>
  <si>
    <t>Nazar Singh Manshahia</t>
  </si>
  <si>
    <t>Manoj Bala</t>
  </si>
  <si>
    <t>Dilraj Singh</t>
  </si>
  <si>
    <t>Ajit Inder Singh</t>
  </si>
  <si>
    <t>Ranjit Kaur Bhatti</t>
  </si>
  <si>
    <t>Rajinder Kaur Bhattal</t>
  </si>
  <si>
    <t>Ajaib Singh Ratolan</t>
  </si>
  <si>
    <t>Gobind Singh Longowal</t>
  </si>
  <si>
    <t>Pirmal Singh Dhaula</t>
  </si>
  <si>
    <t>Sant Balvir Singh Ghunas</t>
  </si>
  <si>
    <t>Gurmeet Singh Meet Haher</t>
  </si>
  <si>
    <t>Kewal Singh Dhillon</t>
  </si>
  <si>
    <t>Ajit Singh Shant</t>
  </si>
  <si>
    <t>Mohammad Owais</t>
  </si>
  <si>
    <t>Surjit Singh Dhiman</t>
  </si>
  <si>
    <t>Iqbal Singh Jhundan</t>
  </si>
  <si>
    <t>Jasvir Singh Jassi Sekhon</t>
  </si>
  <si>
    <t>Dinesh Bansal</t>
  </si>
  <si>
    <t>Sadhu Singh</t>
  </si>
  <si>
    <t>Gurdev Singh Dev Mann</t>
  </si>
  <si>
    <t>Brahm Mohindra</t>
  </si>
  <si>
    <t>Karanvir Singh Tiwana</t>
  </si>
  <si>
    <t>Hardial Singh Kamboj</t>
  </si>
  <si>
    <t>Ashutosh Joshi</t>
  </si>
  <si>
    <t>Narinder Kumar Sharma</t>
  </si>
  <si>
    <t>Deepinder Singh</t>
  </si>
  <si>
    <t>Thekedar Madan Lal Jalalpur</t>
  </si>
  <si>
    <t>Harpreet Kaur Mukhmailpur</t>
  </si>
  <si>
    <t>Harinder Pal Singh Mann</t>
  </si>
  <si>
    <t>Rajinder Singh</t>
  </si>
  <si>
    <t>Nirmal Singh</t>
  </si>
  <si>
    <t>Note: Runner-up share is derived from reported winner share minus reported margin %</t>
  </si>
  <si>
    <t>2024 PUNJAB LOK SABHA CONSTITUENCY DATABASE</t>
  </si>
  <si>
    <t>PC No</t>
  </si>
  <si>
    <t>Lok Sabha Constituency</t>
  </si>
  <si>
    <t>Winner Vote Share %</t>
  </si>
  <si>
    <t>Runner-up Vote Share %*</t>
  </si>
  <si>
    <t>Dinesh Singh Babbu</t>
  </si>
  <si>
    <t>Gurjeet Singh Aujla</t>
  </si>
  <si>
    <t>Amritpal Singh</t>
  </si>
  <si>
    <t>Kulbir Singh Zira</t>
  </si>
  <si>
    <t>Dr. Raj Kumar Chabbewal</t>
  </si>
  <si>
    <t>Yamini Gomar</t>
  </si>
  <si>
    <t>Malvinder Singh Kang</t>
  </si>
  <si>
    <t>Ravneet Singh Bittu</t>
  </si>
  <si>
    <t>Gurpreet Singh Gp</t>
  </si>
  <si>
    <t>Sarabjeet Singh Khalsa</t>
  </si>
  <si>
    <t>Karamjit Singh Anmol</t>
  </si>
  <si>
    <t>Firozpur</t>
  </si>
  <si>
    <t>Sher Singh Ghubaya</t>
  </si>
  <si>
    <t>Jagdeep Singh Kaka Brar</t>
  </si>
  <si>
    <t>Harsimrat Kaur Badal</t>
  </si>
  <si>
    <t>Dr Dharamvira Gandhi</t>
  </si>
  <si>
    <t>Dr Balbir Singh</t>
  </si>
  <si>
    <t>2019 PUNJAB LOK SABHA CONSTITUENCY DATABASE</t>
  </si>
  <si>
    <t>Sunny Deol</t>
  </si>
  <si>
    <t>Hardeep Singh Puri</t>
  </si>
  <si>
    <t>Jasbir Singh Gill (Dimpa)</t>
  </si>
  <si>
    <t>Santokh Singh Chaudhary</t>
  </si>
  <si>
    <t>Charanjit Singh Atwal</t>
  </si>
  <si>
    <t>Manish Tewari</t>
  </si>
  <si>
    <t>Professor Prem Singh Chandumajra</t>
  </si>
  <si>
    <t>Darbara Singh Guru</t>
  </si>
  <si>
    <t>Preneet Kaur</t>
  </si>
  <si>
    <t>ASSEMBLY SEGMENT CROSS ELECTION DATABASE</t>
  </si>
  <si>
    <t>2017 Winner</t>
  </si>
  <si>
    <t>2017 Party</t>
  </si>
  <si>
    <t>2019 LS Segment Leader (historical)</t>
  </si>
  <si>
    <t>2019 Lead / Margin</t>
  </si>
  <si>
    <t>2022 Party</t>
  </si>
  <si>
    <t>2024 LS Segment Leader (diagnostic)</t>
  </si>
  <si>
    <t>2024 Lead / Margin</t>
  </si>
  <si>
    <t>2017→2019 Change</t>
  </si>
  <si>
    <t>2019→2022 Change</t>
  </si>
  <si>
    <t>2022→2024 Change</t>
  </si>
  <si>
    <t>2017 AE → 2019 LS → 2022 AE → 2024 LS</t>
  </si>
  <si>
    <t xml:space="preserve">Sources:
2019 - CEO Punjab primary
2024 - ECI GE 2024 Statistical Reports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</si>
</sst>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7">
    <font>
      <sz val="10.0"/>
      <color rgb="FF000000"/>
      <name val="Arial"/>
      <scheme val="minor"/>
    </font>
    <font>
      <b/>
      <sz val="17.0"/>
      <color rgb="FFFFFFFF"/>
      <name val="Carlito"/>
    </font>
    <font>
      <sz val="11.0"/>
      <color rgb="FF000000"/>
      <name val="Carlito"/>
    </font>
    <font>
      <sz val="11.0"/>
      <color theme="1"/>
      <name val="Carlito"/>
    </font>
    <font>
      <b/>
      <sz val="11.0"/>
      <color rgb="FF173A43"/>
      <name val="Carlito"/>
    </font>
    <font>
      <color theme="1"/>
      <name val="Arial"/>
      <scheme val="minor"/>
    </font>
    <font>
      <b/>
      <sz val="11.0"/>
      <color rgb="FFFFFFFF"/>
      <name val="Carlito"/>
    </font>
    <font>
      <b/>
      <color rgb="FFFFFFFF"/>
      <name val="Carlito"/>
    </font>
    <font>
      <b/>
      <sz val="11.0"/>
      <color rgb="FF000000"/>
      <name val="Carlito"/>
    </font>
    <font>
      <b/>
      <color theme="1"/>
      <name val="Carlito"/>
    </font>
    <font>
      <b/>
      <sz val="11.0"/>
      <color rgb="FF8B3A00"/>
      <name val="Carlito"/>
    </font>
    <font>
      <b/>
      <sz val="11.0"/>
      <color rgb="FF781D1D"/>
      <name val="Carlito"/>
    </font>
    <font>
      <b/>
      <sz val="11.0"/>
      <color rgb="FF006000"/>
      <name val="Carlito"/>
    </font>
    <font>
      <sz val="11.0"/>
      <color rgb="FF14532D"/>
      <name val="Carlito"/>
    </font>
    <font>
      <b/>
      <sz val="16.0"/>
      <color rgb="FFFFFFFF"/>
      <name val="Carlito"/>
    </font>
    <font>
      <b/>
      <sz val="16.0"/>
      <color theme="1"/>
      <name val="Carlito"/>
    </font>
    <font>
      <b/>
      <sz val="15.0"/>
      <color rgb="FFFFFFFF"/>
      <name val="Carlito"/>
    </font>
    <font>
      <b/>
      <sz val="14.0"/>
      <color rgb="FFFFFFFF"/>
      <name val="Carlito"/>
    </font>
    <font>
      <b/>
      <sz val="11.0"/>
      <color theme="1"/>
      <name val="Carlito"/>
    </font>
    <font>
      <b/>
      <sz val="11.0"/>
      <color rgb="FF7E5F00"/>
      <name val="Carlito"/>
    </font>
    <font>
      <b/>
      <sz val="11.0"/>
      <color rgb="FF275613"/>
      <name val="Carlito"/>
    </font>
    <font>
      <b/>
      <sz val="13.0"/>
      <color rgb="FFFFFFFF"/>
      <name val="Carlito"/>
    </font>
    <font>
      <b/>
      <sz val="15.0"/>
      <color rgb="FF000000"/>
      <name val="Carlito"/>
    </font>
    <font>
      <color rgb="FF000000"/>
      <name val="Carlito"/>
    </font>
    <font>
      <b/>
      <sz val="15.0"/>
      <color theme="1"/>
      <name val="Carlito"/>
    </font>
    <font>
      <b/>
      <sz val="10.0"/>
      <color rgb="FF263F26"/>
      <name val="Carlito"/>
    </font>
    <font>
      <b/>
      <u/>
      <sz val="10.0"/>
      <color rgb="FF0F54CC"/>
      <name val="Carlito"/>
    </font>
    <font>
      <sz val="10.0"/>
      <color rgb="FF333333"/>
      <name val="Carlito"/>
    </font>
    <font>
      <b/>
      <u/>
      <sz val="10.0"/>
      <color rgb="FF0000FF"/>
      <name val="Carlito"/>
    </font>
    <font>
      <b/>
      <u/>
      <sz val="10.0"/>
      <color rgb="FF0F54CC"/>
      <name val="Carlito"/>
    </font>
    <font>
      <b/>
      <u/>
      <sz val="10.0"/>
      <color rgb="FF0F54CC"/>
      <name val="Carlito"/>
    </font>
    <font>
      <b/>
      <u/>
      <sz val="10.0"/>
      <color rgb="FF0F54CC"/>
      <name val="Carlito"/>
    </font>
    <font>
      <b/>
      <color rgb="FFFFFFFF"/>
      <name val="Arial"/>
      <scheme val="minor"/>
    </font>
    <font>
      <sz val="14.0"/>
      <color theme="1"/>
      <name val="Arial"/>
      <scheme val="minor"/>
    </font>
    <font>
      <b/>
      <sz val="17.0"/>
      <color rgb="FFFFFFFF"/>
      <name val="Arial"/>
    </font>
    <font>
      <color rgb="FF664D03"/>
      <name val="Arial"/>
    </font>
    <font>
      <b/>
      <color rgb="FFFFFFFF"/>
      <name val="Arial"/>
    </font>
    <font>
      <color theme="1"/>
      <name val="Arial"/>
    </font>
    <font>
      <color rgb="FF14532D"/>
      <name val="Arial"/>
    </font>
    <font>
      <b/>
      <color rgb="FF173A43"/>
      <name val="Arial"/>
    </font>
    <font>
      <u/>
      <color rgb="FF0000FF"/>
    </font>
    <font>
      <u/>
      <sz val="11.0"/>
      <color rgb="FF0000FF"/>
      <name val="Carlito"/>
    </font>
    <font>
      <sz val="11.0"/>
      <color rgb="FF1F1F1F"/>
      <name val="Google Sans"/>
    </font>
    <font>
      <sz val="11.0"/>
      <color rgb="FF444746"/>
      <name val="Google Sans Mono"/>
    </font>
    <font>
      <sz val="11.0"/>
      <color rgb="FF0842A0"/>
      <name val="Google Sans Mono"/>
    </font>
    <font>
      <i/>
      <sz val="11.0"/>
      <color rgb="FF444746"/>
      <name val="Google Sans Mono"/>
    </font>
    <font>
      <b/>
      <color rgb="FF000000"/>
      <name val="Carlito"/>
    </font>
  </fonts>
  <fills count="27">
    <fill>
      <patternFill patternType="none"/>
    </fill>
    <fill>
      <patternFill patternType="lightGray"/>
    </fill>
    <fill>
      <patternFill patternType="solid">
        <fgColor rgb="FF102F44"/>
        <bgColor rgb="FF102F44"/>
      </patternFill>
    </fill>
    <fill>
      <patternFill patternType="solid">
        <fgColor rgb="FFDCEEF1"/>
        <bgColor rgb="FFDCEEF1"/>
      </patternFill>
    </fill>
    <fill>
      <patternFill patternType="solid">
        <fgColor rgb="FF666666"/>
        <bgColor rgb="FF666666"/>
      </patternFill>
    </fill>
    <fill>
      <patternFill patternType="solid">
        <fgColor rgb="FF176B78"/>
        <bgColor rgb="FF176B78"/>
      </patternFill>
    </fill>
    <fill>
      <patternFill patternType="solid">
        <fgColor rgb="FFFBE4CD"/>
        <bgColor rgb="FFFBE4CD"/>
      </patternFill>
    </fill>
    <fill>
      <patternFill patternType="solid">
        <fgColor rgb="FFF4CCCC"/>
        <bgColor rgb="FFF4CCCC"/>
      </patternFill>
    </fill>
    <fill>
      <patternFill patternType="solid">
        <fgColor rgb="FF274E13"/>
        <bgColor rgb="FF274E13"/>
      </patternFill>
    </fill>
    <fill>
      <patternFill patternType="solid">
        <fgColor rgb="FFC5EECE"/>
        <bgColor rgb="FFC5EECE"/>
      </patternFill>
    </fill>
    <fill>
      <patternFill patternType="solid">
        <fgColor rgb="FF980000"/>
        <bgColor rgb="FF980000"/>
      </patternFill>
    </fill>
    <fill>
      <patternFill patternType="solid">
        <fgColor rgb="FF85200C"/>
        <bgColor rgb="FF85200C"/>
      </patternFill>
    </fill>
    <fill>
      <patternFill patternType="solid">
        <fgColor rgb="FFFFF1CC"/>
        <bgColor rgb="FFFFF1CC"/>
      </patternFill>
    </fill>
    <fill>
      <patternFill patternType="solid">
        <fgColor rgb="FFE1EFD9"/>
        <bgColor rgb="FFE1EFD9"/>
      </patternFill>
    </fill>
    <fill>
      <patternFill patternType="solid">
        <fgColor rgb="FFB6D7A8"/>
        <bgColor rgb="FFB6D7A8"/>
      </patternFill>
    </fill>
    <fill>
      <patternFill patternType="solid">
        <fgColor rgb="FFF4F7F4"/>
        <bgColor rgb="FFF4F7F4"/>
      </patternFill>
    </fill>
    <fill>
      <patternFill patternType="solid">
        <fgColor rgb="FFFFF3CD"/>
        <bgColor rgb="FFFFF3CD"/>
      </patternFill>
    </fill>
    <fill>
      <patternFill patternType="solid">
        <fgColor rgb="FFDCFCE7"/>
        <bgColor rgb="FFDCFCE7"/>
      </patternFill>
    </fill>
    <fill>
      <patternFill patternType="solid">
        <fgColor rgb="FFDDEFF2"/>
        <bgColor rgb="FFDDEFF2"/>
      </patternFill>
    </fill>
    <fill>
      <patternFill patternType="solid">
        <fgColor rgb="FF1F6D7A"/>
        <bgColor rgb="FF1F6D7A"/>
      </patternFill>
    </fill>
    <fill>
      <patternFill patternType="solid">
        <fgColor rgb="FFFCA5A5"/>
        <bgColor rgb="FFFCA5A5"/>
      </patternFill>
    </fill>
    <fill>
      <patternFill patternType="solid">
        <fgColor rgb="FFFDE68A"/>
        <bgColor rgb="FFFDE68A"/>
      </patternFill>
    </fill>
    <fill>
      <patternFill patternType="solid">
        <fgColor rgb="FFEEF0B4"/>
        <bgColor rgb="FFEEF0B4"/>
      </patternFill>
    </fill>
    <fill>
      <patternFill patternType="solid">
        <fgColor rgb="FFFDDB8E"/>
        <bgColor rgb="FFFDDB8E"/>
      </patternFill>
    </fill>
    <fill>
      <patternFill patternType="solid">
        <fgColor rgb="FFF1EEAB"/>
        <bgColor rgb="FFF1EEAB"/>
      </patternFill>
    </fill>
    <fill>
      <patternFill patternType="solid">
        <fgColor rgb="FFDFFADE"/>
        <bgColor rgb="FFDFFADE"/>
      </patternFill>
    </fill>
    <fill>
      <patternFill patternType="solid">
        <fgColor rgb="FFFFFF00"/>
        <bgColor rgb="FFFFFF00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left style="thin">
        <color rgb="FFCCCCCC"/>
      </left>
      <right style="thin">
        <color rgb="FFE0E0E0"/>
      </right>
      <top style="medium">
        <color rgb="FF274E13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medium">
        <color rgb="FF274E13"/>
      </top>
      <bottom style="thin">
        <color rgb="FFE0E0E0"/>
      </bottom>
    </border>
    <border>
      <left style="thin">
        <color rgb="FFE0E0E0"/>
      </left>
      <right style="thin">
        <color rgb="FFCCCCCC"/>
      </right>
      <top style="medium">
        <color rgb="FF274E13"/>
      </top>
      <bottom style="thin">
        <color rgb="FFE0E0E0"/>
      </bottom>
    </border>
    <border>
      <left style="thin">
        <color rgb="FFCCCCCC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CCCCCC"/>
      </right>
      <top style="thin">
        <color rgb="FFE0E0E0"/>
      </top>
      <bottom style="thin">
        <color rgb="FFE0E0E0"/>
      </bottom>
    </border>
    <border>
      <left style="thin">
        <color rgb="FFCCCCCC"/>
      </left>
      <right style="thin">
        <color rgb="FFE0E0E0"/>
      </right>
      <top style="thin">
        <color rgb="FFE0E0E0"/>
      </top>
      <bottom style="medium">
        <color rgb="FF274E13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274E13"/>
      </bottom>
    </border>
    <border>
      <left style="thin">
        <color rgb="FFE0E0E0"/>
      </left>
      <right style="thin">
        <color rgb="FFCCCCCC"/>
      </right>
      <top style="thin">
        <color rgb="FFE0E0E0"/>
      </top>
      <bottom style="medium">
        <color rgb="FF274E13"/>
      </bottom>
    </border>
    <border>
      <right/>
      <top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1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vertical="bottom"/>
    </xf>
    <xf borderId="0" fillId="2" fontId="3" numFmtId="0" xfId="0" applyFill="1" applyFont="1"/>
    <xf borderId="0" fillId="3" fontId="4" numFmtId="0" xfId="0" applyAlignment="1" applyFill="1" applyFont="1">
      <alignment horizontal="left" shrinkToFit="0" vertical="bottom" wrapText="1"/>
    </xf>
    <xf borderId="0" fillId="0" fontId="5" numFmtId="0" xfId="0" applyAlignment="1" applyFont="1">
      <alignment horizontal="center"/>
    </xf>
    <xf borderId="0" fillId="0" fontId="3" numFmtId="0" xfId="0" applyFont="1"/>
    <xf borderId="0" fillId="4" fontId="6" numFmtId="0" xfId="0" applyAlignment="1" applyFill="1" applyFont="1">
      <alignment horizontal="center" shrinkToFit="0" vertical="bottom" wrapText="1"/>
    </xf>
    <xf borderId="0" fillId="5" fontId="7" numFmtId="0" xfId="0" applyAlignment="1" applyFill="1" applyFont="1">
      <alignment horizontal="center" shrinkToFit="0" wrapText="1"/>
    </xf>
    <xf borderId="0" fillId="4" fontId="6" numFmtId="0" xfId="0" applyAlignment="1" applyFill="1" applyFont="1">
      <alignment shrinkToFit="0" vertical="bottom" wrapText="1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left" readingOrder="0" shrinkToFit="0" wrapText="0"/>
    </xf>
    <xf borderId="0" fillId="0" fontId="9" numFmtId="0" xfId="0" applyAlignment="1" applyFont="1">
      <alignment horizontal="center" shrinkToFit="0" wrapText="1"/>
    </xf>
    <xf borderId="0" fillId="5" fontId="7" numFmtId="0" xfId="0" applyAlignment="1" applyFill="1" applyFont="1">
      <alignment horizontal="center" readingOrder="0" shrinkToFit="0" wrapText="1"/>
    </xf>
    <xf borderId="1" fillId="0" fontId="3" numFmtId="0" xfId="0" applyAlignment="1" applyBorder="1" applyFont="1">
      <alignment horizontal="center" shrinkToFit="0" vertical="bottom" wrapText="1"/>
    </xf>
    <xf borderId="0" fillId="0" fontId="9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right" shrinkToFit="0" wrapText="1"/>
    </xf>
    <xf borderId="1" fillId="0" fontId="3" numFmtId="0" xfId="0" applyAlignment="1" applyBorder="1" applyFont="1">
      <alignment readingOrder="0" shrinkToFit="0" vertical="bottom" wrapText="1"/>
    </xf>
    <xf borderId="0" fillId="0" fontId="3" numFmtId="0" xfId="0" applyAlignment="1" applyFont="1">
      <alignment shrinkToFit="0" wrapText="1"/>
    </xf>
    <xf borderId="1" fillId="0" fontId="3" numFmtId="0" xfId="0" applyAlignment="1" applyBorder="1" applyFont="1">
      <alignment shrinkToFit="0" vertical="bottom" wrapText="1"/>
    </xf>
    <xf borderId="0" fillId="0" fontId="7" numFmtId="0" xfId="0" applyAlignment="1" applyFont="1">
      <alignment horizontal="center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6" fontId="10" numFmtId="0" xfId="0" applyAlignment="1" applyFill="1" applyFont="1">
      <alignment shrinkToFit="0" wrapText="1"/>
    </xf>
    <xf borderId="0" fillId="4" fontId="6" numFmtId="0" xfId="0" applyAlignment="1" applyFill="1" applyFont="1">
      <alignment horizontal="center" readingOrder="0" shrinkToFit="0" vertical="bottom" wrapText="1"/>
    </xf>
    <xf borderId="0" fillId="4" fontId="6" numFmtId="0" xfId="0" applyAlignment="1" applyFill="1" applyFont="1">
      <alignment readingOrder="0" shrinkToFit="0" vertical="bottom" wrapText="1"/>
    </xf>
    <xf borderId="0" fillId="4" fontId="6" numFmtId="0" xfId="0" applyAlignment="1" applyFill="1" applyFont="1">
      <alignment vertical="bottom"/>
    </xf>
    <xf borderId="0" fillId="7" fontId="11" numFmtId="0" xfId="0" applyAlignment="1" applyFill="1" applyFont="1">
      <alignment shrinkToFit="0" wrapText="1"/>
    </xf>
    <xf borderId="0" fillId="8" fontId="1" numFmtId="0" xfId="0" applyAlignment="1" applyFill="1" applyFont="1">
      <alignment readingOrder="0"/>
    </xf>
    <xf borderId="0" fillId="8" fontId="1" numFmtId="0" xfId="0" applyFill="1" applyFont="1"/>
    <xf borderId="0" fillId="0" fontId="1" numFmtId="0" xfId="0" applyFont="1"/>
    <xf borderId="0" fillId="0" fontId="2" numFmtId="0" xfId="0" applyAlignment="1" applyFont="1">
      <alignment readingOrder="0" shrinkToFit="0" vertical="bottom" wrapText="1"/>
    </xf>
    <xf borderId="0" fillId="9" fontId="12" numFmtId="0" xfId="0" applyAlignment="1" applyFill="1" applyFont="1">
      <alignment shrinkToFit="0" wrapText="1"/>
    </xf>
    <xf borderId="0" fillId="0" fontId="13" numFmtId="0" xfId="0" applyAlignment="1" applyFont="1">
      <alignment readingOrder="0" shrinkToFit="0" vertical="bottom" wrapText="1"/>
    </xf>
    <xf borderId="0" fillId="8" fontId="14" numFmtId="0" xfId="0" applyAlignment="1" applyFill="1" applyFont="1">
      <alignment horizontal="center" readingOrder="0" shrinkToFit="0" wrapText="1"/>
    </xf>
    <xf borderId="0" fillId="8" fontId="14" numFmtId="0" xfId="0" applyAlignment="1" applyFill="1" applyFont="1">
      <alignment horizontal="center" shrinkToFit="0" wrapText="1"/>
    </xf>
    <xf borderId="0" fillId="0" fontId="15" numFmtId="0" xfId="0" applyAlignment="1" applyFont="1">
      <alignment horizontal="center" shrinkToFit="0" wrapText="1"/>
    </xf>
    <xf borderId="0" fillId="0" fontId="3" numFmtId="0" xfId="0" applyAlignment="1" applyFont="1">
      <alignment horizontal="center" readingOrder="0" vertical="bottom"/>
    </xf>
    <xf borderId="0" fillId="10" fontId="16" numFmtId="0" xfId="0" applyAlignment="1" applyFill="1" applyFont="1">
      <alignment horizontal="center" readingOrder="0" vertical="bottom"/>
    </xf>
    <xf borderId="0" fillId="11" fontId="17" numFmtId="0" xfId="0" applyAlignment="1" applyFill="1" applyFont="1">
      <alignment horizontal="center" readingOrder="0" shrinkToFit="0" wrapText="1"/>
    </xf>
    <xf borderId="0" fillId="11" fontId="17" numFmtId="0" xfId="0" applyAlignment="1" applyFill="1" applyFont="1">
      <alignment horizontal="center" shrinkToFit="0" wrapText="1"/>
    </xf>
    <xf borderId="0" fillId="0" fontId="3" numFmtId="0" xfId="0" applyAlignment="1" applyFont="1">
      <alignment horizontal="center" readingOrder="0" shrinkToFit="0" vertical="bottom" wrapText="1"/>
    </xf>
    <xf borderId="0" fillId="0" fontId="18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12" fontId="19" numFmtId="0" xfId="0" applyAlignment="1" applyFill="1" applyFont="1">
      <alignment shrinkToFit="0" wrapText="1"/>
    </xf>
    <xf borderId="0" fillId="13" fontId="20" numFmtId="0" xfId="0" applyAlignment="1" applyFill="1" applyFont="1">
      <alignment shrinkToFit="0" wrapText="1"/>
    </xf>
    <xf borderId="0" fillId="0" fontId="5" numFmtId="0" xfId="0" applyAlignment="1" applyFont="1">
      <alignment readingOrder="0"/>
    </xf>
    <xf borderId="0" fillId="10" fontId="21" numFmtId="0" xfId="0" applyAlignment="1" applyFill="1" applyFont="1">
      <alignment horizontal="center" readingOrder="0" vertical="bottom"/>
    </xf>
    <xf borderId="0" fillId="0" fontId="21" numFmtId="0" xfId="0" applyAlignment="1" applyFont="1">
      <alignment horizontal="center" readingOrder="0" vertical="bottom"/>
    </xf>
    <xf borderId="2" fillId="0" fontId="22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readingOrder="0" shrinkToFit="0" vertical="center" wrapText="1"/>
    </xf>
    <xf borderId="3" fillId="0" fontId="23" numFmtId="0" xfId="0" applyAlignment="1" applyBorder="1" applyFont="1">
      <alignment horizontal="left" shrinkToFit="0" wrapText="1"/>
    </xf>
    <xf borderId="0" fillId="0" fontId="24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center" wrapText="1"/>
    </xf>
    <xf borderId="0" fillId="14" fontId="2" numFmtId="0" xfId="0" applyAlignment="1" applyFill="1" applyFont="1">
      <alignment readingOrder="0" shrinkToFit="0" vertical="bottom" wrapText="1"/>
    </xf>
    <xf borderId="0" fillId="14" fontId="13" numFmtId="0" xfId="0" applyAlignment="1" applyFill="1" applyFont="1">
      <alignment readingOrder="0" shrinkToFit="0" vertical="bottom" wrapText="1"/>
    </xf>
    <xf borderId="4" fillId="8" fontId="6" numFmtId="0" xfId="0" applyAlignment="1" applyBorder="1" applyFill="1" applyFont="1">
      <alignment horizontal="left" readingOrder="0" vertical="center"/>
    </xf>
    <xf borderId="5" fillId="8" fontId="6" numFmtId="0" xfId="0" applyAlignment="1" applyBorder="1" applyFill="1" applyFont="1">
      <alignment horizontal="left" readingOrder="0" vertical="center"/>
    </xf>
    <xf borderId="6" fillId="8" fontId="6" numFmtId="0" xfId="0" applyAlignment="1" applyBorder="1" applyFill="1" applyFont="1">
      <alignment horizontal="left" readingOrder="0" vertical="center"/>
    </xf>
    <xf borderId="7" fillId="0" fontId="25" numFmtId="0" xfId="0" applyAlignment="1" applyBorder="1" applyFont="1">
      <alignment horizontal="left" readingOrder="0" shrinkToFit="0" vertical="center" wrapText="1"/>
    </xf>
    <xf borderId="8" fillId="0" fontId="26" numFmtId="0" xfId="0" applyAlignment="1" applyBorder="1" applyFont="1">
      <alignment horizontal="left" shrinkToFit="0" vertical="center" wrapText="1"/>
    </xf>
    <xf borderId="9" fillId="0" fontId="27" numFmtId="0" xfId="0" applyAlignment="1" applyBorder="1" applyFont="1">
      <alignment horizontal="left" readingOrder="0" shrinkToFit="0" vertical="center" wrapText="1"/>
    </xf>
    <xf borderId="7" fillId="15" fontId="25" numFmtId="0" xfId="0" applyAlignment="1" applyBorder="1" applyFill="1" applyFont="1">
      <alignment horizontal="left" readingOrder="0" shrinkToFit="0" vertical="center" wrapText="1"/>
    </xf>
    <xf borderId="8" fillId="15" fontId="28" numFmtId="0" xfId="0" applyAlignment="1" applyBorder="1" applyFill="1" applyFont="1">
      <alignment horizontal="left" readingOrder="0" shrinkToFit="0" vertical="center" wrapText="1"/>
    </xf>
    <xf borderId="9" fillId="15" fontId="27" numFmtId="0" xfId="0" applyAlignment="1" applyBorder="1" applyFill="1" applyFont="1">
      <alignment horizontal="left" readingOrder="0" shrinkToFit="0" vertical="center" wrapText="1"/>
    </xf>
    <xf borderId="8" fillId="15" fontId="29" numFmtId="0" xfId="0" applyAlignment="1" applyBorder="1" applyFill="1" applyFont="1">
      <alignment horizontal="left" shrinkToFit="0" vertical="center" wrapText="1"/>
    </xf>
    <xf borderId="10" fillId="15" fontId="25" numFmtId="0" xfId="0" applyAlignment="1" applyBorder="1" applyFill="1" applyFont="1">
      <alignment horizontal="left" readingOrder="0" shrinkToFit="0" vertical="center" wrapText="1"/>
    </xf>
    <xf borderId="11" fillId="15" fontId="30" numFmtId="0" xfId="0" applyAlignment="1" applyBorder="1" applyFill="1" applyFont="1">
      <alignment horizontal="left" shrinkToFit="0" vertical="center" wrapText="1"/>
    </xf>
    <xf borderId="12" fillId="15" fontId="27" numFmtId="0" xfId="0" applyAlignment="1" applyBorder="1" applyFill="1" applyFont="1">
      <alignment horizontal="left" readingOrder="0" shrinkToFit="0" vertical="center" wrapText="1"/>
    </xf>
    <xf borderId="0" fillId="0" fontId="25" numFmtId="0" xfId="0" applyAlignment="1" applyFont="1">
      <alignment horizontal="left" readingOrder="0" shrinkToFit="0" vertical="center" wrapText="1"/>
    </xf>
    <xf borderId="0" fillId="0" fontId="31" numFmtId="0" xfId="0" applyAlignment="1" applyFont="1">
      <alignment horizontal="left" shrinkToFit="0" vertical="center" wrapText="1"/>
    </xf>
    <xf borderId="0" fillId="0" fontId="27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shrinkToFit="0" wrapText="1"/>
    </xf>
    <xf borderId="0" fillId="8" fontId="32" numFmtId="0" xfId="0" applyAlignment="1" applyFill="1" applyFont="1">
      <alignment horizontal="center" readingOrder="0" shrinkToFit="0" wrapText="1"/>
    </xf>
    <xf borderId="0" fillId="0" fontId="10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19" numFmtId="0" xfId="0" applyAlignment="1" applyFont="1">
      <alignment shrinkToFit="0" wrapText="1"/>
    </xf>
    <xf borderId="0" fillId="0" fontId="4" numFmtId="0" xfId="0" applyAlignment="1" applyFont="1">
      <alignment vertical="bottom"/>
    </xf>
    <xf borderId="13" fillId="0" fontId="7" numFmtId="0" xfId="0" applyAlignment="1" applyBorder="1" applyFont="1">
      <alignment horizontal="center" shrinkToFit="0" wrapText="1"/>
    </xf>
    <xf borderId="0" fillId="0" fontId="33" numFmtId="0" xfId="0" applyFont="1"/>
    <xf borderId="0" fillId="2" fontId="34" numFmtId="0" xfId="0" applyAlignment="1" applyFill="1" applyFont="1">
      <alignment readingOrder="0"/>
    </xf>
    <xf borderId="0" fillId="16" fontId="35" numFmtId="0" xfId="0" applyAlignment="1" applyFill="1" applyFont="1">
      <alignment shrinkToFit="0" vertical="bottom" wrapText="1"/>
    </xf>
    <xf borderId="0" fillId="5" fontId="36" numFmtId="0" xfId="0" applyAlignment="1" applyFill="1" applyFont="1">
      <alignment horizontal="center" shrinkToFit="0" wrapText="1"/>
    </xf>
    <xf borderId="0" fillId="5" fontId="36" numFmtId="4" xfId="0" applyAlignment="1" applyFill="1" applyFont="1" applyNumberFormat="1">
      <alignment horizontal="center" shrinkToFit="0" wrapText="1"/>
    </xf>
    <xf borderId="0" fillId="5" fontId="36" numFmtId="0" xfId="0" applyAlignment="1" applyFill="1" applyFont="1">
      <alignment horizontal="center" readingOrder="0" shrinkToFit="0" wrapText="1"/>
    </xf>
    <xf borderId="0" fillId="0" fontId="37" numFmtId="0" xfId="0" applyAlignment="1" applyFont="1">
      <alignment horizontal="right" shrinkToFit="0" wrapText="1"/>
    </xf>
    <xf borderId="0" fillId="0" fontId="37" numFmtId="0" xfId="0" applyAlignment="1" applyFont="1">
      <alignment shrinkToFit="0" wrapText="1"/>
    </xf>
    <xf borderId="0" fillId="0" fontId="37" numFmtId="2" xfId="0" applyAlignment="1" applyFont="1" applyNumberFormat="1">
      <alignment horizontal="right" shrinkToFit="0" wrapText="1"/>
    </xf>
    <xf borderId="0" fillId="0" fontId="37" numFmtId="4" xfId="0" applyAlignment="1" applyFont="1" applyNumberFormat="1">
      <alignment horizontal="right" shrinkToFit="0" wrapText="1"/>
    </xf>
    <xf borderId="0" fillId="0" fontId="37" numFmtId="2" xfId="0" applyAlignment="1" applyFont="1" applyNumberFormat="1">
      <alignment shrinkToFit="0" wrapText="1"/>
    </xf>
    <xf borderId="0" fillId="0" fontId="37" numFmtId="3" xfId="0" applyAlignment="1" applyFont="1" applyNumberFormat="1">
      <alignment shrinkToFit="0" wrapText="1"/>
    </xf>
    <xf borderId="0" fillId="0" fontId="37" numFmtId="2" xfId="0" applyFont="1" applyNumberFormat="1"/>
    <xf borderId="0" fillId="0" fontId="37" numFmtId="0" xfId="0" applyAlignment="1" applyFont="1">
      <alignment shrinkToFit="0" vertical="bottom" wrapText="1"/>
    </xf>
    <xf borderId="0" fillId="17" fontId="38" numFmtId="0" xfId="0" applyAlignment="1" applyFill="1" applyFont="1">
      <alignment shrinkToFit="0" vertical="bottom" wrapText="1"/>
    </xf>
    <xf borderId="0" fillId="0" fontId="37" numFmtId="3" xfId="0" applyFont="1" applyNumberFormat="1"/>
    <xf borderId="0" fillId="0" fontId="37" numFmtId="2" xfId="0" applyAlignment="1" applyFont="1" applyNumberFormat="1">
      <alignment readingOrder="0" shrinkToFit="0" wrapText="1"/>
    </xf>
    <xf borderId="0" fillId="0" fontId="37" numFmtId="0" xfId="0" applyFont="1"/>
    <xf borderId="0" fillId="0" fontId="37" numFmtId="3" xfId="0" applyAlignment="1" applyFont="1" applyNumberFormat="1">
      <alignment readingOrder="0" shrinkToFit="0" wrapText="1"/>
    </xf>
    <xf borderId="0" fillId="0" fontId="37" numFmtId="0" xfId="0" applyAlignment="1" applyFont="1">
      <alignment vertical="bottom"/>
    </xf>
    <xf borderId="0" fillId="18" fontId="39" numFmtId="0" xfId="0" applyAlignment="1" applyFill="1" applyFont="1">
      <alignment vertical="bottom"/>
    </xf>
    <xf borderId="0" fillId="19" fontId="36" numFmtId="0" xfId="0" applyAlignment="1" applyFill="1" applyFont="1">
      <alignment horizontal="center" shrinkToFit="0" wrapText="1"/>
    </xf>
    <xf borderId="0" fillId="19" fontId="36" numFmtId="0" xfId="0" applyAlignment="1" applyFill="1" applyFont="1">
      <alignment horizontal="center" readingOrder="0" shrinkToFit="0" wrapText="1"/>
    </xf>
    <xf borderId="0" fillId="0" fontId="37" numFmtId="0" xfId="0" applyAlignment="1" applyFont="1">
      <alignment horizontal="center" vertical="bottom"/>
    </xf>
    <xf borderId="0" fillId="0" fontId="5" numFmtId="4" xfId="0" applyFont="1" applyNumberFormat="1"/>
    <xf borderId="0" fillId="0" fontId="3" numFmtId="0" xfId="0" applyAlignment="1" applyFont="1">
      <alignment shrinkToFit="0" vertical="center" wrapText="0"/>
    </xf>
    <xf borderId="0" fillId="4" fontId="32" numFmtId="0" xfId="0" applyAlignment="1" applyFill="1" applyFont="1">
      <alignment horizontal="center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5" numFmtId="0" xfId="0" applyFont="1"/>
    <xf borderId="0" fillId="0" fontId="40" numFmtId="0" xfId="0" applyAlignment="1" applyFont="1">
      <alignment readingOrder="0" shrinkToFit="0" wrapText="1"/>
    </xf>
    <xf borderId="0" fillId="4" fontId="32" numFmtId="0" xfId="0" applyAlignment="1" applyFill="1" applyFont="1">
      <alignment shrinkToFit="0" wrapText="1"/>
    </xf>
    <xf borderId="0" fillId="0" fontId="41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20" fontId="37" numFmtId="2" xfId="0" applyAlignment="1" applyFill="1" applyFont="1" applyNumberFormat="1">
      <alignment horizontal="right" shrinkToFit="0" wrapText="1"/>
    </xf>
    <xf borderId="0" fillId="21" fontId="37" numFmtId="2" xfId="0" applyAlignment="1" applyFill="1" applyFont="1" applyNumberFormat="1">
      <alignment horizontal="right" shrinkToFit="0" wrapText="1"/>
    </xf>
    <xf borderId="0" fillId="22" fontId="37" numFmtId="2" xfId="0" applyAlignment="1" applyFill="1" applyFont="1" applyNumberFormat="1">
      <alignment horizontal="right" shrinkToFit="0" wrapText="1"/>
    </xf>
    <xf borderId="0" fillId="23" fontId="37" numFmtId="2" xfId="0" applyAlignment="1" applyFill="1" applyFont="1" applyNumberFormat="1">
      <alignment horizontal="right" shrinkToFit="0" wrapText="1"/>
    </xf>
    <xf borderId="0" fillId="17" fontId="37" numFmtId="2" xfId="0" applyAlignment="1" applyFill="1" applyFont="1" applyNumberFormat="1">
      <alignment horizontal="right" shrinkToFit="0" wrapText="1"/>
    </xf>
    <xf borderId="0" fillId="24" fontId="37" numFmtId="2" xfId="0" applyAlignment="1" applyFill="1" applyFont="1" applyNumberFormat="1">
      <alignment horizontal="right" shrinkToFit="0" wrapText="1"/>
    </xf>
    <xf borderId="0" fillId="25" fontId="37" numFmtId="2" xfId="0" applyAlignment="1" applyFill="1" applyFont="1" applyNumberFormat="1">
      <alignment horizontal="right" shrinkToFit="0" wrapText="1"/>
    </xf>
    <xf borderId="14" fillId="0" fontId="3" numFmtId="0" xfId="0" applyAlignment="1" applyBorder="1" applyFont="1">
      <alignment horizontal="right" shrinkToFit="0" wrapText="1"/>
    </xf>
    <xf borderId="15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horizontal="right" shrinkToFit="0" wrapText="1"/>
    </xf>
    <xf borderId="15" fillId="0" fontId="3" numFmtId="0" xfId="0" applyBorder="1" applyFont="1"/>
    <xf borderId="16" fillId="0" fontId="3" numFmtId="0" xfId="0" applyBorder="1" applyFont="1"/>
    <xf borderId="17" fillId="0" fontId="3" numFmtId="0" xfId="0" applyAlignment="1" applyBorder="1" applyFont="1">
      <alignment horizontal="right" shrinkToFit="0" wrapText="1"/>
    </xf>
    <xf borderId="18" fillId="0" fontId="3" numFmtId="0" xfId="0" applyBorder="1" applyFont="1"/>
    <xf borderId="18" fillId="0" fontId="3" numFmtId="0" xfId="0" applyAlignment="1" applyBorder="1" applyFont="1">
      <alignment horizontal="right" shrinkToFit="0" wrapText="1"/>
    </xf>
    <xf borderId="19" fillId="0" fontId="3" numFmtId="0" xfId="0" applyAlignment="1" applyBorder="1" applyFont="1">
      <alignment horizontal="right" shrinkToFit="0" wrapText="1"/>
    </xf>
    <xf borderId="20" fillId="0" fontId="3" numFmtId="0" xfId="0" applyAlignment="1" applyBorder="1" applyFont="1">
      <alignment shrinkToFit="0" wrapText="1"/>
    </xf>
    <xf borderId="20" fillId="0" fontId="3" numFmtId="0" xfId="0" applyAlignment="1" applyBorder="1" applyFont="1">
      <alignment horizontal="right" shrinkToFit="0" wrapText="1"/>
    </xf>
    <xf borderId="20" fillId="0" fontId="3" numFmtId="0" xfId="0" applyBorder="1" applyFont="1"/>
    <xf borderId="21" fillId="0" fontId="3" numFmtId="0" xfId="0" applyAlignment="1" applyBorder="1" applyFont="1">
      <alignment horizontal="right" shrinkToFit="0" wrapText="1"/>
    </xf>
    <xf borderId="0" fillId="0" fontId="42" numFmtId="0" xfId="0" applyAlignment="1" applyFont="1">
      <alignment vertical="bottom"/>
    </xf>
    <xf borderId="0" fillId="0" fontId="43" numFmtId="0" xfId="0" applyAlignment="1" applyFont="1">
      <alignment vertical="bottom"/>
    </xf>
    <xf borderId="0" fillId="0" fontId="44" numFmtId="0" xfId="0" applyAlignment="1" applyFont="1">
      <alignment vertical="bottom"/>
    </xf>
    <xf borderId="0" fillId="0" fontId="45" numFmtId="0" xfId="0" applyAlignment="1" applyFont="1">
      <alignment vertical="bottom"/>
    </xf>
    <xf borderId="0" fillId="26" fontId="46" numFmtId="0" xfId="0" applyAlignment="1" applyFill="1" applyFont="1">
      <alignment horizontal="center" shrinkToFit="0" wrapText="1"/>
    </xf>
    <xf borderId="0" fillId="26" fontId="2" numFmtId="0" xfId="0" applyAlignment="1" applyFill="1" applyFont="1">
      <alignment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006000"/>
      </font>
      <fill>
        <patternFill patternType="solid">
          <fgColor rgb="FFC5EECE"/>
          <bgColor rgb="FFC5EECE"/>
        </patternFill>
      </fill>
      <border/>
    </dxf>
    <dxf>
      <font>
        <b/>
        <color rgb="FF7E5F00"/>
      </font>
      <fill>
        <patternFill patternType="solid">
          <fgColor rgb="FFFFF1CC"/>
          <bgColor rgb="FFFFF1CC"/>
        </patternFill>
      </fill>
      <border/>
    </dxf>
    <dxf>
      <font>
        <b/>
        <color rgb="FF164F9B"/>
      </font>
      <fill>
        <patternFill patternType="solid">
          <fgColor rgb="FFD0E2F3"/>
          <bgColor rgb="FFD0E2F3"/>
        </patternFill>
      </fill>
      <border/>
    </dxf>
    <dxf>
      <font>
        <b/>
        <color rgb="FF781D1D"/>
      </font>
      <fill>
        <patternFill patternType="solid">
          <fgColor rgb="FFF4CCCC"/>
          <bgColor rgb="FFF4CCCC"/>
        </patternFill>
      </fill>
      <border/>
    </dxf>
  </dxfs>
  <tableStyles count="1">
    <tableStyle count="3" pivot="0" name="Dashboard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Seats vs Battlefield Class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Dashboard!$B$4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Dashboard!$A$5:$A$9</c:f>
            </c:strRef>
          </c:cat>
          <c:val>
            <c:numRef>
              <c:f>Dashboard!$B$5:$B$9</c:f>
              <c:numCache/>
            </c:numRef>
          </c:val>
        </c:ser>
        <c:axId val="1110192868"/>
        <c:axId val="2055407161"/>
      </c:barChart>
      <c:catAx>
        <c:axId val="11101928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Battlefield Class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5407161"/>
      </c:catAx>
      <c:valAx>
        <c:axId val="20554071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Seats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01928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714375</xdr:colOff>
      <xdr:row>2</xdr:row>
      <xdr:rowOff>19050</xdr:rowOff>
    </xdr:from>
    <xdr:ext cx="5391150" cy="16002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8:C70" displayName="Table_1" name="Table_1" id="1">
  <tableColumns count="3">
    <tableColumn name="Term" id="1"/>
    <tableColumn name="One-line definition" id="2"/>
    <tableColumn name="Example" id="3"/>
  </tableColumns>
  <tableStyleInfo name="Dash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indianexpress.com/article/cities/chandigarh/punjab-border-belt-violence-gurdaspur-ferozpur-amritsar-targeted-killings-grenade-blast-modular-gangs-10724900/" TargetMode="External"/><Relationship Id="rId10" Type="http://schemas.openxmlformats.org/officeDocument/2006/relationships/hyperlink" Target="https://indianexpress.com/article/chandigarh/punjab-paddy-cultivation-record-high-kharif-acreage-crop-diversification-failure-10854916/lite/" TargetMode="External"/><Relationship Id="rId13" Type="http://schemas.openxmlformats.org/officeDocument/2006/relationships/hyperlink" Target="https://indianexpress.com/article/cities/chandigarh/punjab-border-belt-violence-gurdaspur-ferozpur-amritsar-targeted-killings-grenade-blast-modular-gangs-10724900/" TargetMode="External"/><Relationship Id="rId12" Type="http://schemas.openxmlformats.org/officeDocument/2006/relationships/hyperlink" Target="https://www.cambridge.org/core/journals/journal-of-asian-studies/article/abs/ravidass-deras-and-social-protest-making-sense-of-dalit-consciousness-in-punjab-india/8F4FE512813926F4D1349C2FF21A4E47" TargetMode="External"/><Relationship Id="rId1" Type="http://schemas.openxmlformats.org/officeDocument/2006/relationships/hyperlink" Target="https://punjab.gov.in/state-profile/" TargetMode="External"/><Relationship Id="rId2" Type="http://schemas.openxmlformats.org/officeDocument/2006/relationships/hyperlink" Target="https://punjab.gov.in/state-profile/" TargetMode="External"/><Relationship Id="rId3" Type="http://schemas.openxmlformats.org/officeDocument/2006/relationships/hyperlink" Target="https://theprint.in/politics/malwa-majha-doaba-divided-by-rivers-each-punjab-region-has-distinct-political-identity/814388/" TargetMode="External"/><Relationship Id="rId4" Type="http://schemas.openxmlformats.org/officeDocument/2006/relationships/hyperlink" Target="https://theprint.in/politics/malwa-majha-doaba-divided-by-rivers-each-punjab-region-has-distinct-political-identity/814388/" TargetMode="External"/><Relationship Id="rId9" Type="http://schemas.openxmlformats.org/officeDocument/2006/relationships/hyperlink" Target="https://indianexpress.com/article/cities/chandigarh/punjab-loss-for-bjp-highest-ever-vote-share-9374008/" TargetMode="External"/><Relationship Id="rId15" Type="http://schemas.openxmlformats.org/officeDocument/2006/relationships/drawing" Target="../drawings/drawing8.xml"/><Relationship Id="rId14" Type="http://schemas.openxmlformats.org/officeDocument/2006/relationships/hyperlink" Target="https://timesofindia.indiatimes.com/city/chandigarh/five-thermal-units-down-generation-shortfall-bites-industry-sector/articleshow/133662379.cms" TargetMode="External"/><Relationship Id="rId5" Type="http://schemas.openxmlformats.org/officeDocument/2006/relationships/hyperlink" Target="https://theprint.in/politics/malwa-majha-doaba-divided-by-rivers-each-punjab-region-has-distinct-political-identity/814388/" TargetMode="External"/><Relationship Id="rId6" Type="http://schemas.openxmlformats.org/officeDocument/2006/relationships/hyperlink" Target="https://www.mha.gov.in/MHA1/Par2017/pdfs/par2023-pdfs/LS28032023/4460.pdf" TargetMode="External"/><Relationship Id="rId7" Type="http://schemas.openxmlformats.org/officeDocument/2006/relationships/hyperlink" Target="https://timesofindia.indiatimes.com/city/ludhiana/industrialists-flag-power-supply-infra-issues-in-meeting-with-dc/articleshow/132544973.cms" TargetMode="External"/><Relationship Id="rId8" Type="http://schemas.openxmlformats.org/officeDocument/2006/relationships/hyperlink" Target="https://indianexpress.com/article/cities/chandigarh/with-langars-and-trolleys-farmers-begin-seven-day-sit-in-on-mohali-chandigarh-border-10859753/lite/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okniti.org/media/PDF-upload/1652936933_9468000_download_report.pdf" TargetMode="External"/><Relationship Id="rId2" Type="http://schemas.openxmlformats.org/officeDocument/2006/relationships/hyperlink" Target="https://indianexpress.com/article/political-pulse/congress-peace-punjab-amrinder-raja-warring-charanjit-singh-channi-10766998/" TargetMode="External"/><Relationship Id="rId3" Type="http://schemas.openxmlformats.org/officeDocument/2006/relationships/hyperlink" Target="https://indianexpress.com/article/political-pulse/a-fresh-probe-old-wounds-punjabs-sacrilege-row-simmers-ahead-of-2027-polls-10738867/" TargetMode="External"/><Relationship Id="rId4" Type="http://schemas.openxmlformats.org/officeDocument/2006/relationships/hyperlink" Target="https://indianexpress.com/article/cities/chandigarh/punjab-loss-for-bjp-highest-ever-vote-share-9374008/" TargetMode="External"/><Relationship Id="rId5" Type="http://schemas.openxmlformats.org/officeDocument/2006/relationships/hyperlink" Target="https://www.hindustantimes.com/india-news/bsp-will-go-solo-in-up-uttarakhand-and-punjab-assembly-elections-mayawati-101787653497781-amp.html" TargetMode="External"/><Relationship Id="rId6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hyperlink" Target="https://indianexpress.com/article/cities/chandigarh/in-panthic-belt-new-challengers-emerge-for-beleaguered-sadb-9372374/" TargetMode="External"/><Relationship Id="rId11" Type="http://schemas.openxmlformats.org/officeDocument/2006/relationships/hyperlink" Target="https://timesofindia.indiatimes.com/city/chandigarh/punjab-youth-unemployment-up-himachal-pradesh-tops-region-plfs-data/amp_articleshow/133281788.cms" TargetMode="External"/><Relationship Id="rId22" Type="http://schemas.openxmlformats.org/officeDocument/2006/relationships/drawing" Target="../drawings/drawing10.xml"/><Relationship Id="rId10" Type="http://schemas.openxmlformats.org/officeDocument/2006/relationships/hyperlink" Target="https://www.pib.gov.in/PressReleasePage.aspx?PRID=2127739&amp;lang=2&amp;reg=48" TargetMode="External"/><Relationship Id="rId21" Type="http://schemas.openxmlformats.org/officeDocument/2006/relationships/hyperlink" Target="https://www.lokniti.org/media/PDF-upload/1652936933_9468000_download_report.pdf" TargetMode="External"/><Relationship Id="rId13" Type="http://schemas.openxmlformats.org/officeDocument/2006/relationships/hyperlink" Target="https://prsindia.org/budgets/states/punjab-budget-analysis-2026-27" TargetMode="External"/><Relationship Id="rId12" Type="http://schemas.openxmlformats.org/officeDocument/2006/relationships/hyperlink" Target="https://indianexpress.com/article/cities/chandigarh/panjab-university-poll-results-political-narrative-punjab-bjp-aap-10858238/" TargetMode="External"/><Relationship Id="rId1" Type="http://schemas.openxmlformats.org/officeDocument/2006/relationships/hyperlink" Target="https://giss.org/jsps_vol_30/12-mehra.pdf" TargetMode="External"/><Relationship Id="rId2" Type="http://schemas.openxmlformats.org/officeDocument/2006/relationships/hyperlink" Target="https://giss.org/jsps_vol_30/12-mehra.pdf" TargetMode="External"/><Relationship Id="rId3" Type="http://schemas.openxmlformats.org/officeDocument/2006/relationships/hyperlink" Target="https://www.cambridge.org/core/journals/journal-of-asian-studies/article/abs/ravidass-deras-and-social-protest-making-sense-of-dalit-consciousness-in-punjab-india/8F4FE512813926F4D1349C2FF21A4E47" TargetMode="External"/><Relationship Id="rId4" Type="http://schemas.openxmlformats.org/officeDocument/2006/relationships/hyperlink" Target="https://www.researchgate.net/publication/312720761_Internal_Caste_Cleavages_among_Dalits_in_Punjab" TargetMode="External"/><Relationship Id="rId9" Type="http://schemas.openxmlformats.org/officeDocument/2006/relationships/hyperlink" Target="https://rsdebate.nic.in/bitstream/123456789/750563/1/PQ_265_26072024_U485_p100_p103.pdf" TargetMode="External"/><Relationship Id="rId15" Type="http://schemas.openxmlformats.org/officeDocument/2006/relationships/hyperlink" Target="https://indianexpress.com/article/cities/chandigarh/punjab-loss-for-bjp-highest-ever-vote-share-9374008/" TargetMode="External"/><Relationship Id="rId14" Type="http://schemas.openxmlformats.org/officeDocument/2006/relationships/hyperlink" Target="https://indianexpress.com/article/cities/chandigarh/punjab-government-moves-to-act-against-employees-absent-during-maha-hartal-10855425/" TargetMode="External"/><Relationship Id="rId17" Type="http://schemas.openxmlformats.org/officeDocument/2006/relationships/hyperlink" Target="https://timesofindia.indiatimes.com/city/chandigarh/five-thermal-units-down-generation-shortfall-bites-industry-sector/articleshow/133662379.cms" TargetMode="External"/><Relationship Id="rId16" Type="http://schemas.openxmlformats.org/officeDocument/2006/relationships/hyperlink" Target="https://timesofindia.indiatimes.com/city/ludhiana/industrialists-flag-power-supply-infra-issues-in-meeting-with-dc/articleshow/132544973.cms" TargetMode="External"/><Relationship Id="rId5" Type="http://schemas.openxmlformats.org/officeDocument/2006/relationships/hyperlink" Target="https://www.researchgate.net/publication/385514117_Punjab_Lok_Sabha_Elections_2024_Discerning_the_Trends" TargetMode="External"/><Relationship Id="rId19" Type="http://schemas.openxmlformats.org/officeDocument/2006/relationships/hyperlink" Target="https://pau.edu/index.php?DO=viewEventDetail&amp;_act=manageEvent&amp;intID=8569" TargetMode="External"/><Relationship Id="rId6" Type="http://schemas.openxmlformats.org/officeDocument/2006/relationships/hyperlink" Target="https://giss.org/jsps_vol_30/12-mehra.pdf" TargetMode="External"/><Relationship Id="rId18" Type="http://schemas.openxmlformats.org/officeDocument/2006/relationships/hyperlink" Target="https://pau.edu/index.php?DO=viewEventDetail&amp;_act=manageEvent&amp;intID=8569" TargetMode="External"/><Relationship Id="rId7" Type="http://schemas.openxmlformats.org/officeDocument/2006/relationships/hyperlink" Target="https://giss.org/jsps_vol_30/12-mehra.pdf" TargetMode="External"/><Relationship Id="rId8" Type="http://schemas.openxmlformats.org/officeDocument/2006/relationships/hyperlink" Target="https://indianexpress.com/article/cities/chandigarh/with-langars-and-trolleys-farmers-begin-seven-day-sit-in-on-mohali-chandigarh-border-10859753/lite/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0.88"/>
    <col customWidth="1" min="2" max="2" width="36.38"/>
    <col customWidth="1" min="3" max="3" width="42.0"/>
    <col customWidth="1" min="4" max="4" width="29.5"/>
    <col customWidth="1" min="5" max="5" width="30.13"/>
    <col customWidth="1" min="6" max="6" width="45.38"/>
    <col customWidth="1" min="7" max="7" width="61.63"/>
    <col customWidth="1" min="8" max="8" width="52.75"/>
  </cols>
  <sheetData>
    <row r="1">
      <c r="A1" s="30" t="s">
        <v>224</v>
      </c>
      <c r="B1" s="31"/>
      <c r="C1" s="31"/>
      <c r="D1" s="31"/>
      <c r="E1" s="31"/>
      <c r="F1" s="32"/>
      <c r="G1" s="32"/>
      <c r="H1" s="32"/>
      <c r="I1" s="32"/>
      <c r="J1" s="32"/>
      <c r="K1" s="32"/>
      <c r="L1" s="32"/>
      <c r="M1" s="32"/>
      <c r="N1" s="32"/>
    </row>
    <row r="2">
      <c r="A2" s="33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>
      <c r="A3" s="24"/>
      <c r="B3" s="24"/>
      <c r="C3" s="24"/>
      <c r="D3" s="24"/>
      <c r="E3" s="24"/>
      <c r="F3" s="35"/>
      <c r="G3" s="35"/>
      <c r="H3" s="35"/>
      <c r="I3" s="35"/>
      <c r="J3" s="35"/>
      <c r="K3" s="35"/>
      <c r="L3" s="35"/>
      <c r="M3" s="35"/>
      <c r="N3" s="35"/>
    </row>
    <row r="4">
      <c r="A4" s="36" t="s">
        <v>226</v>
      </c>
      <c r="B4" s="37" t="s">
        <v>227</v>
      </c>
      <c r="C4" s="38"/>
      <c r="D4" s="24"/>
      <c r="E4" s="24"/>
      <c r="F4" s="35"/>
      <c r="G4" s="35"/>
      <c r="H4" s="35"/>
      <c r="I4" s="35"/>
      <c r="J4" s="35"/>
      <c r="K4" s="35"/>
      <c r="L4" s="35"/>
      <c r="M4" s="35"/>
      <c r="N4" s="35"/>
    </row>
    <row r="5">
      <c r="A5" s="24" t="s">
        <v>228</v>
      </c>
      <c r="B5" s="39">
        <f>COUNTIF('117 Battles '!$F$4:$F$120, A5)</f>
        <v>22</v>
      </c>
      <c r="C5" s="24"/>
      <c r="D5" s="24"/>
      <c r="E5" s="24"/>
      <c r="F5" s="35"/>
      <c r="G5" s="35"/>
      <c r="H5" s="35"/>
      <c r="I5" s="35"/>
      <c r="J5" s="35"/>
      <c r="K5" s="35"/>
      <c r="L5" s="35"/>
      <c r="M5" s="35"/>
      <c r="N5" s="35"/>
    </row>
    <row r="6">
      <c r="A6" s="24" t="s">
        <v>229</v>
      </c>
      <c r="B6" s="39">
        <f>COUNTIF('117 Battles '!$F$4:$F$120, A6)</f>
        <v>20</v>
      </c>
      <c r="C6" s="24"/>
      <c r="D6" s="24"/>
      <c r="E6" s="24"/>
      <c r="F6" s="35"/>
      <c r="G6" s="35"/>
      <c r="H6" s="35"/>
      <c r="I6" s="35"/>
      <c r="J6" s="35"/>
      <c r="K6" s="35"/>
      <c r="L6" s="35"/>
      <c r="M6" s="35"/>
      <c r="N6" s="35"/>
    </row>
    <row r="7">
      <c r="A7" s="24" t="s">
        <v>230</v>
      </c>
      <c r="B7" s="39">
        <f>COUNTIF('117 Battles '!$F$4:$F$120, A7)</f>
        <v>26</v>
      </c>
      <c r="C7" s="24"/>
      <c r="D7" s="24"/>
      <c r="E7" s="24"/>
      <c r="F7" s="35"/>
      <c r="G7" s="35"/>
      <c r="H7" s="35"/>
      <c r="I7" s="35"/>
      <c r="J7" s="35"/>
      <c r="K7" s="35"/>
      <c r="L7" s="35"/>
      <c r="M7" s="35"/>
      <c r="N7" s="35"/>
    </row>
    <row r="8">
      <c r="A8" s="24" t="s">
        <v>231</v>
      </c>
      <c r="B8" s="39">
        <f>COUNTIF('117 Battles '!$F$4:$F$120, A8)</f>
        <v>20</v>
      </c>
      <c r="C8" s="24"/>
      <c r="D8" s="24"/>
      <c r="E8" s="24"/>
      <c r="F8" s="35"/>
      <c r="G8" s="35"/>
      <c r="H8" s="35"/>
      <c r="I8" s="35"/>
      <c r="J8" s="35"/>
      <c r="K8" s="35"/>
      <c r="L8" s="35"/>
      <c r="M8" s="35"/>
      <c r="N8" s="35"/>
    </row>
    <row r="9">
      <c r="A9" s="24" t="s">
        <v>232</v>
      </c>
      <c r="B9" s="39">
        <f>COUNTIF('117 Battles '!$F$4:$F$120, A9)</f>
        <v>29</v>
      </c>
      <c r="C9" s="24"/>
      <c r="D9" s="24"/>
      <c r="E9" s="24"/>
      <c r="F9" s="35"/>
      <c r="G9" s="35"/>
      <c r="H9" s="35"/>
      <c r="I9" s="35"/>
      <c r="J9" s="35"/>
      <c r="K9" s="35"/>
      <c r="L9" s="35"/>
      <c r="M9" s="35"/>
      <c r="N9" s="35"/>
    </row>
    <row r="10">
      <c r="A10" s="24"/>
      <c r="B10" s="24"/>
      <c r="C10" s="24"/>
      <c r="D10" s="24"/>
      <c r="E10" s="24"/>
      <c r="F10" s="35"/>
      <c r="G10" s="35"/>
      <c r="H10" s="35"/>
      <c r="I10" s="35"/>
      <c r="J10" s="35"/>
      <c r="K10" s="35"/>
      <c r="L10" s="35"/>
      <c r="M10" s="35"/>
      <c r="N10" s="35"/>
    </row>
    <row r="11">
      <c r="A11" s="40" t="s">
        <v>236</v>
      </c>
      <c r="F11" s="35"/>
      <c r="G11" s="35"/>
      <c r="H11" s="35"/>
      <c r="I11" s="35"/>
      <c r="J11" s="35"/>
      <c r="K11" s="35"/>
      <c r="L11" s="35"/>
      <c r="M11" s="35"/>
      <c r="N11" s="35"/>
    </row>
    <row r="12">
      <c r="A12" s="41" t="s">
        <v>90</v>
      </c>
      <c r="B12" s="42" t="s">
        <v>237</v>
      </c>
      <c r="C12" s="42" t="s">
        <v>230</v>
      </c>
      <c r="D12" s="42" t="s">
        <v>238</v>
      </c>
      <c r="E12" s="42" t="s">
        <v>239</v>
      </c>
      <c r="F12" s="35"/>
      <c r="G12" s="35"/>
      <c r="H12" s="35"/>
      <c r="I12" s="35"/>
      <c r="J12" s="35"/>
      <c r="K12" s="35"/>
      <c r="L12" s="35"/>
      <c r="M12" s="35"/>
      <c r="N12" s="35"/>
    </row>
    <row r="13">
      <c r="A13" s="24"/>
      <c r="B13" s="43" t="s">
        <v>240</v>
      </c>
      <c r="C13" s="43" t="s">
        <v>241</v>
      </c>
      <c r="D13" s="43" t="s">
        <v>242</v>
      </c>
      <c r="E13" s="43" t="s">
        <v>243</v>
      </c>
      <c r="F13" s="35"/>
      <c r="G13" s="35"/>
      <c r="H13" s="35"/>
      <c r="I13" s="35"/>
      <c r="J13" s="35"/>
      <c r="K13" s="35"/>
      <c r="L13" s="35"/>
      <c r="M13" s="35"/>
      <c r="N13" s="35"/>
    </row>
    <row r="14">
      <c r="A14" s="44" t="s">
        <v>32</v>
      </c>
      <c r="B14" s="45">
        <f t="array" ref="B14">COUNTIF(INDEX('117 Battles '!$T$4:$W$120, 0, MATCH($A14, {"AAP","INC","SAD","BJP"}, 0)), B$12)</f>
        <v>27</v>
      </c>
      <c r="C14" s="45">
        <f t="array" ref="C14">COUNTIF(INDEX('117 Battles '!$T$4:$W$120, 0, MATCH($A14, {"AAP","INC","SAD","BJP"}, 0)), C$12)</f>
        <v>72</v>
      </c>
      <c r="D14" s="45">
        <f t="array" ref="D14">COUNTIF(INDEX('117 Battles '!$T$4:$W$120, 0, MATCH($A14, {"AAP","INC","SAD","BJP"}, 0)), D$12)</f>
        <v>7</v>
      </c>
      <c r="E14" s="45">
        <f t="array" ref="E14">COUNTIF(INDEX('117 Battles '!$T$4:$W$120, 0, MATCH($A14, {"AAP","INC","SAD","BJP"}, 0)), E$12)</f>
        <v>11</v>
      </c>
      <c r="F14" s="35"/>
      <c r="G14" s="35"/>
      <c r="H14" s="35"/>
      <c r="I14" s="35"/>
      <c r="J14" s="35"/>
      <c r="K14" s="35"/>
      <c r="L14" s="35"/>
      <c r="M14" s="35"/>
      <c r="N14" s="35"/>
    </row>
    <row r="15">
      <c r="A15" s="44" t="s">
        <v>45</v>
      </c>
      <c r="B15" s="45">
        <f t="array" ref="B15">COUNTIF(INDEX('117 Battles '!$T$4:$W$120, 0, MATCH($A15, {"AAP","INC","SAD","BJP"}, 0)), B$12)</f>
        <v>11</v>
      </c>
      <c r="C15" s="45">
        <f t="array" ref="C15">COUNTIF(INDEX('117 Battles '!$T$4:$W$120, 0, MATCH($A15, {"AAP","INC","SAD","BJP"}, 0)), C$12)</f>
        <v>39</v>
      </c>
      <c r="D15" s="45">
        <f t="array" ref="D15">COUNTIF(INDEX('117 Battles '!$T$4:$W$120, 0, MATCH($A15, {"AAP","INC","SAD","BJP"}, 0)), D$12)</f>
        <v>28</v>
      </c>
      <c r="E15" s="45">
        <f t="array" ref="E15">COUNTIF(INDEX('117 Battles '!$T$4:$W$120, 0, MATCH($A15, {"AAP","INC","SAD","BJP"}, 0)), E$12)</f>
        <v>39</v>
      </c>
      <c r="F15" s="35"/>
      <c r="G15" s="35"/>
      <c r="H15" s="35"/>
      <c r="I15" s="35"/>
      <c r="J15" s="35"/>
      <c r="K15" s="35"/>
      <c r="L15" s="35"/>
      <c r="M15" s="35"/>
      <c r="N15" s="35"/>
    </row>
    <row r="16">
      <c r="A16" s="44" t="s">
        <v>51</v>
      </c>
      <c r="B16" s="45">
        <f t="array" ref="B16">COUNTIF(INDEX('117 Battles '!$T$4:$W$120, 0, MATCH($A16, {"AAP","INC","SAD","BJP"}, 0)), B$12)</f>
        <v>1</v>
      </c>
      <c r="C16" s="45">
        <f t="array" ref="C16">COUNTIF(INDEX('117 Battles '!$T$4:$W$120, 0, MATCH($A16, {"AAP","INC","SAD","BJP"}, 0)), C$12)</f>
        <v>28</v>
      </c>
      <c r="D16" s="45">
        <f t="array" ref="D16">COUNTIF(INDEX('117 Battles '!$T$4:$W$120, 0, MATCH($A16, {"AAP","INC","SAD","BJP"}, 0)), D$12)</f>
        <v>20</v>
      </c>
      <c r="E16" s="45">
        <f t="array" ref="E16">COUNTIF(INDEX('117 Battles '!$T$4:$W$120, 0, MATCH($A16, {"AAP","INC","SAD","BJP"}, 0)), E$12)</f>
        <v>68</v>
      </c>
      <c r="F16" s="35"/>
      <c r="G16" s="35"/>
      <c r="H16" s="35"/>
      <c r="I16" s="35"/>
      <c r="J16" s="35"/>
      <c r="K16" s="35"/>
      <c r="L16" s="35"/>
      <c r="M16" s="35"/>
      <c r="N16" s="35"/>
    </row>
    <row r="17">
      <c r="A17" s="44" t="s">
        <v>53</v>
      </c>
      <c r="B17" s="45">
        <f t="array" ref="B17">COUNTIF(INDEX('117 Battles '!$T$4:$W$120, 0, MATCH($A17, {"AAP","INC","SAD","BJP"}, 0)), B$12)</f>
        <v>2</v>
      </c>
      <c r="C17" s="45">
        <f t="array" ref="C17">COUNTIF(INDEX('117 Battles '!$T$4:$W$120, 0, MATCH($A17, {"AAP","INC","SAD","BJP"}, 0)), C$12)</f>
        <v>8</v>
      </c>
      <c r="D17" s="45">
        <f t="array" ref="D17">COUNTIF(INDEX('117 Battles '!$T$4:$W$120, 0, MATCH($A17, {"AAP","INC","SAD","BJP"}, 0)), D$12)</f>
        <v>14</v>
      </c>
      <c r="E17" s="45">
        <f t="array" ref="E17">COUNTIF(INDEX('117 Battles '!$T$4:$W$120, 0, MATCH($A17, {"AAP","INC","SAD","BJP"}, 0)), E$12)</f>
        <v>93</v>
      </c>
      <c r="F17" s="35"/>
      <c r="G17" s="35"/>
      <c r="H17" s="35"/>
      <c r="I17" s="35"/>
      <c r="J17" s="35"/>
      <c r="K17" s="35"/>
      <c r="L17" s="35"/>
      <c r="M17" s="35"/>
      <c r="N17" s="35"/>
    </row>
    <row r="18">
      <c r="A18" s="24"/>
      <c r="B18" s="24"/>
      <c r="C18" s="24"/>
      <c r="D18" s="24"/>
      <c r="E18" s="24"/>
      <c r="F18" s="35"/>
      <c r="G18" s="35"/>
      <c r="H18" s="35"/>
      <c r="I18" s="35"/>
      <c r="J18" s="35"/>
      <c r="K18" s="35"/>
      <c r="L18" s="35"/>
      <c r="M18" s="35"/>
      <c r="N18" s="35"/>
    </row>
    <row r="19">
      <c r="A19" s="49" t="s">
        <v>90</v>
      </c>
      <c r="B19" s="49" t="s">
        <v>283</v>
      </c>
      <c r="C19" s="49" t="s">
        <v>284</v>
      </c>
      <c r="D19" s="50"/>
      <c r="E19" s="50"/>
      <c r="F19" s="35"/>
      <c r="G19" s="35"/>
      <c r="H19" s="35"/>
      <c r="I19" s="35"/>
      <c r="J19" s="35"/>
      <c r="K19" s="35"/>
      <c r="L19" s="35"/>
      <c r="M19" s="35"/>
      <c r="N19" s="35"/>
    </row>
    <row r="20">
      <c r="A20" s="51" t="s">
        <v>32</v>
      </c>
      <c r="B20" s="52" t="s">
        <v>286</v>
      </c>
      <c r="C20" s="48" t="s">
        <v>288</v>
      </c>
      <c r="D20" s="53"/>
      <c r="E20" s="53"/>
      <c r="F20" s="35"/>
      <c r="G20" s="35"/>
      <c r="H20" s="35"/>
      <c r="I20" s="35"/>
      <c r="J20" s="35"/>
      <c r="K20" s="35"/>
      <c r="L20" s="35"/>
      <c r="M20" s="35"/>
      <c r="N20" s="35"/>
    </row>
    <row r="21">
      <c r="A21" s="54" t="s">
        <v>45</v>
      </c>
      <c r="B21" s="52" t="s">
        <v>289</v>
      </c>
      <c r="C21" s="55" t="s">
        <v>290</v>
      </c>
      <c r="D21" s="56"/>
      <c r="E21" s="56"/>
      <c r="F21" s="35"/>
      <c r="G21" s="35"/>
      <c r="H21" s="35"/>
      <c r="I21" s="35"/>
      <c r="J21" s="35"/>
      <c r="K21" s="35"/>
      <c r="L21" s="35"/>
      <c r="M21" s="35"/>
      <c r="N21" s="35"/>
    </row>
    <row r="22">
      <c r="A22" s="54" t="s">
        <v>53</v>
      </c>
      <c r="B22" s="57" t="s">
        <v>291</v>
      </c>
      <c r="C22" s="48" t="s">
        <v>292</v>
      </c>
      <c r="D22" s="56"/>
      <c r="E22" s="56"/>
      <c r="F22" s="35"/>
      <c r="G22" s="35"/>
      <c r="H22" s="35"/>
      <c r="I22" s="35"/>
      <c r="J22" s="35"/>
      <c r="K22" s="35"/>
      <c r="L22" s="35"/>
      <c r="M22" s="35"/>
      <c r="N22" s="35"/>
    </row>
    <row r="23">
      <c r="A23" s="54" t="s">
        <v>51</v>
      </c>
      <c r="B23" s="57" t="s">
        <v>293</v>
      </c>
      <c r="C23" s="48" t="s">
        <v>294</v>
      </c>
      <c r="D23" s="56"/>
      <c r="E23" s="56"/>
      <c r="F23" s="35"/>
      <c r="G23" s="35"/>
      <c r="H23" s="35"/>
      <c r="I23" s="35"/>
      <c r="J23" s="35"/>
      <c r="K23" s="35"/>
      <c r="L23" s="35"/>
      <c r="M23" s="35"/>
      <c r="N23" s="35"/>
    </row>
    <row r="24">
      <c r="A24" s="54" t="s">
        <v>295</v>
      </c>
      <c r="B24" s="52" t="s">
        <v>296</v>
      </c>
      <c r="C24" s="48" t="s">
        <v>297</v>
      </c>
      <c r="D24" s="56"/>
      <c r="E24" s="56"/>
      <c r="F24" s="35"/>
      <c r="G24" s="35"/>
      <c r="H24" s="35"/>
      <c r="I24" s="35"/>
      <c r="J24" s="35"/>
      <c r="K24" s="35"/>
      <c r="L24" s="35"/>
      <c r="M24" s="35"/>
      <c r="N24" s="35"/>
    </row>
    <row r="25">
      <c r="A25" s="33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</row>
    <row r="26">
      <c r="A26" s="33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</row>
    <row r="27">
      <c r="A27" s="37" t="s">
        <v>298</v>
      </c>
      <c r="B27" s="37" t="s">
        <v>32</v>
      </c>
      <c r="C27" s="37" t="s">
        <v>45</v>
      </c>
      <c r="D27" s="37" t="s">
        <v>51</v>
      </c>
      <c r="E27" s="37" t="s">
        <v>53</v>
      </c>
      <c r="F27" s="35"/>
      <c r="G27" s="35"/>
      <c r="H27" s="35"/>
      <c r="I27" s="35"/>
      <c r="J27" s="35"/>
      <c r="K27" s="35"/>
      <c r="L27" s="35"/>
      <c r="M27" s="35"/>
      <c r="N27" s="35"/>
    </row>
    <row r="28">
      <c r="A28" s="24" t="s">
        <v>299</v>
      </c>
      <c r="B28" s="23">
        <f t="shared" ref="B28:E28" si="1">ROUND(AVERAGE((B29/117)*10,(B30/117)*10,(B31/13)*10,(B32/40)*10,(B33/SUM($B$33:$E$33))*10,(B34/SUM($B$34:$E$34))*10) + 2.17, 2)</f>
        <v>8.35</v>
      </c>
      <c r="C28" s="23">
        <f t="shared" si="1"/>
        <v>5.31</v>
      </c>
      <c r="D28" s="23">
        <f t="shared" si="1"/>
        <v>3.33</v>
      </c>
      <c r="E28" s="23">
        <f t="shared" si="1"/>
        <v>3.2</v>
      </c>
      <c r="F28" s="35"/>
      <c r="G28" s="35"/>
      <c r="H28" s="35"/>
      <c r="I28" s="35"/>
      <c r="J28" s="35"/>
      <c r="K28" s="35"/>
      <c r="L28" s="35"/>
      <c r="M28" s="35"/>
      <c r="N28" s="35"/>
    </row>
    <row r="29">
      <c r="A29" s="24" t="s">
        <v>302</v>
      </c>
      <c r="B29" s="23">
        <v>94.0</v>
      </c>
      <c r="C29" s="23">
        <v>16.0</v>
      </c>
      <c r="D29" s="23">
        <v>3.0</v>
      </c>
      <c r="E29" s="23">
        <v>2.0</v>
      </c>
      <c r="F29" s="35"/>
      <c r="G29" s="35"/>
      <c r="H29" s="35"/>
      <c r="I29" s="35"/>
      <c r="J29" s="35"/>
      <c r="K29" s="35"/>
      <c r="L29" s="35"/>
      <c r="M29" s="35"/>
      <c r="N29" s="35"/>
    </row>
    <row r="30">
      <c r="A30" s="24" t="s">
        <v>304</v>
      </c>
      <c r="B30" s="23">
        <v>95.0</v>
      </c>
      <c r="C30" s="23">
        <v>16.0</v>
      </c>
      <c r="D30" s="23">
        <v>1.0</v>
      </c>
      <c r="E30" s="23">
        <v>2.0</v>
      </c>
      <c r="F30" s="35"/>
      <c r="G30" s="35"/>
      <c r="H30" s="35"/>
      <c r="I30" s="35"/>
      <c r="J30" s="35"/>
      <c r="K30" s="35"/>
      <c r="L30" s="35"/>
      <c r="M30" s="35"/>
      <c r="N30" s="35"/>
    </row>
    <row r="31">
      <c r="A31" s="24" t="s">
        <v>305</v>
      </c>
      <c r="B31" s="23">
        <v>3.0</v>
      </c>
      <c r="C31" s="23">
        <v>7.0</v>
      </c>
      <c r="D31" s="23">
        <v>1.0</v>
      </c>
      <c r="E31" s="23">
        <v>0.0</v>
      </c>
      <c r="F31" s="35"/>
      <c r="G31" s="35"/>
      <c r="H31" s="35"/>
      <c r="I31" s="35"/>
      <c r="J31" s="35"/>
      <c r="K31" s="35"/>
      <c r="L31" s="35"/>
      <c r="M31" s="35"/>
      <c r="N31" s="35"/>
    </row>
    <row r="32">
      <c r="A32" s="24" t="s">
        <v>306</v>
      </c>
      <c r="B32" s="23">
        <v>26.02</v>
      </c>
      <c r="C32" s="23">
        <v>26.3</v>
      </c>
      <c r="D32" s="23">
        <v>13.42</v>
      </c>
      <c r="E32" s="23">
        <v>18.56</v>
      </c>
      <c r="F32" s="35"/>
      <c r="G32" s="35"/>
      <c r="H32" s="35"/>
      <c r="I32" s="35"/>
      <c r="J32" s="35"/>
      <c r="K32" s="35"/>
      <c r="L32" s="35"/>
      <c r="M32" s="35"/>
      <c r="N32" s="35"/>
    </row>
    <row r="33">
      <c r="A33" s="24" t="s">
        <v>307</v>
      </c>
      <c r="B33" s="23">
        <v>218.0</v>
      </c>
      <c r="C33" s="23">
        <v>62.0</v>
      </c>
      <c r="D33" s="23">
        <v>46.0</v>
      </c>
      <c r="E33" s="23">
        <v>7.0</v>
      </c>
      <c r="F33" s="35"/>
      <c r="G33" s="35"/>
      <c r="H33" s="35"/>
      <c r="I33" s="35"/>
      <c r="J33" s="35"/>
      <c r="K33" s="35"/>
      <c r="L33" s="35"/>
      <c r="M33" s="35"/>
      <c r="N33" s="35"/>
    </row>
    <row r="34">
      <c r="A34" s="24" t="s">
        <v>308</v>
      </c>
      <c r="B34" s="23">
        <v>958.0</v>
      </c>
      <c r="C34" s="23">
        <v>397.0</v>
      </c>
      <c r="D34" s="23">
        <v>192.0</v>
      </c>
      <c r="E34" s="23">
        <v>172.0</v>
      </c>
      <c r="F34" s="35"/>
      <c r="G34" s="35"/>
      <c r="H34" s="35"/>
      <c r="I34" s="35"/>
      <c r="J34" s="35"/>
      <c r="K34" s="35"/>
      <c r="L34" s="35"/>
      <c r="M34" s="35"/>
      <c r="N34" s="35"/>
    </row>
    <row r="35">
      <c r="A35" s="33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</row>
    <row r="36">
      <c r="A36" s="33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</row>
    <row r="37">
      <c r="A37" s="58" t="s">
        <v>309</v>
      </c>
      <c r="B37" s="59"/>
      <c r="C37" s="59"/>
      <c r="D37" s="59"/>
      <c r="E37" s="59"/>
      <c r="F37" s="35"/>
      <c r="G37" s="35"/>
      <c r="H37" s="35"/>
      <c r="I37" s="35"/>
      <c r="J37" s="35"/>
      <c r="K37" s="35"/>
      <c r="L37" s="35"/>
      <c r="M37" s="35"/>
      <c r="N37" s="35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</row>
    <row r="39">
      <c r="F39" s="24"/>
      <c r="G39" s="24"/>
      <c r="H39" s="24"/>
      <c r="I39" s="24"/>
      <c r="J39" s="24"/>
      <c r="K39" s="24"/>
      <c r="L39" s="24"/>
      <c r="M39" s="24"/>
      <c r="N39" s="24"/>
    </row>
    <row r="40">
      <c r="A40" s="60" t="s">
        <v>310</v>
      </c>
      <c r="B40" s="61" t="s">
        <v>311</v>
      </c>
      <c r="C40" s="62" t="s">
        <v>312</v>
      </c>
      <c r="I40" s="24"/>
      <c r="J40" s="24"/>
      <c r="K40" s="24"/>
      <c r="L40" s="24"/>
      <c r="M40" s="24"/>
      <c r="N40" s="24"/>
    </row>
    <row r="41">
      <c r="A41" s="63" t="s">
        <v>313</v>
      </c>
      <c r="B41" s="64" t="s">
        <v>316</v>
      </c>
      <c r="C41" s="65" t="s">
        <v>317</v>
      </c>
      <c r="I41" s="24"/>
      <c r="J41" s="24"/>
      <c r="K41" s="24"/>
      <c r="L41" s="24"/>
      <c r="M41" s="24"/>
      <c r="N41" s="24"/>
    </row>
    <row r="42">
      <c r="A42" s="66" t="s">
        <v>313</v>
      </c>
      <c r="B42" s="67" t="s">
        <v>318</v>
      </c>
      <c r="C42" s="68" t="s">
        <v>321</v>
      </c>
      <c r="J42" s="24"/>
      <c r="K42" s="24"/>
      <c r="L42" s="24"/>
      <c r="M42" s="24"/>
      <c r="N42" s="24"/>
    </row>
    <row r="43">
      <c r="A43" s="63" t="s">
        <v>313</v>
      </c>
      <c r="B43" s="64" t="s">
        <v>322</v>
      </c>
      <c r="C43" s="65" t="s">
        <v>323</v>
      </c>
      <c r="J43" s="24"/>
      <c r="K43" s="24"/>
      <c r="L43" s="24"/>
      <c r="M43" s="24"/>
      <c r="N43" s="24"/>
    </row>
    <row r="44">
      <c r="A44" s="66" t="s">
        <v>313</v>
      </c>
      <c r="B44" s="69" t="s">
        <v>324</v>
      </c>
      <c r="C44" s="68" t="s">
        <v>325</v>
      </c>
      <c r="J44" s="24"/>
      <c r="K44" s="24"/>
      <c r="L44" s="24"/>
      <c r="M44" s="24"/>
      <c r="N44" s="24"/>
    </row>
    <row r="45">
      <c r="A45" s="63" t="s">
        <v>313</v>
      </c>
      <c r="B45" s="64" t="s">
        <v>326</v>
      </c>
      <c r="C45" s="65" t="s">
        <v>327</v>
      </c>
      <c r="J45" s="24"/>
      <c r="K45" s="24"/>
      <c r="L45" s="24"/>
      <c r="M45" s="24"/>
      <c r="N45" s="24"/>
    </row>
    <row r="46">
      <c r="A46" s="66" t="s">
        <v>328</v>
      </c>
      <c r="B46" s="69" t="s">
        <v>329</v>
      </c>
      <c r="C46" s="68" t="s">
        <v>330</v>
      </c>
      <c r="J46" s="24"/>
      <c r="K46" s="24"/>
      <c r="L46" s="24"/>
      <c r="M46" s="24"/>
      <c r="N46" s="24"/>
    </row>
    <row r="47">
      <c r="A47" s="63" t="s">
        <v>328</v>
      </c>
      <c r="B47" s="64" t="s">
        <v>331</v>
      </c>
      <c r="C47" s="65" t="s">
        <v>333</v>
      </c>
      <c r="J47" s="24"/>
      <c r="K47" s="24"/>
      <c r="L47" s="24"/>
      <c r="M47" s="24"/>
      <c r="N47" s="24"/>
    </row>
    <row r="48">
      <c r="A48" s="66" t="s">
        <v>328</v>
      </c>
      <c r="B48" s="69" t="s">
        <v>335</v>
      </c>
      <c r="C48" s="68" t="s">
        <v>336</v>
      </c>
      <c r="J48" s="24"/>
      <c r="K48" s="24"/>
      <c r="L48" s="24"/>
      <c r="M48" s="24"/>
      <c r="N48" s="24"/>
    </row>
    <row r="49">
      <c r="A49" s="63" t="s">
        <v>328</v>
      </c>
      <c r="B49" s="64" t="s">
        <v>337</v>
      </c>
      <c r="C49" s="65" t="s">
        <v>338</v>
      </c>
      <c r="J49" s="24"/>
      <c r="K49" s="24"/>
      <c r="L49" s="24"/>
      <c r="M49" s="24"/>
      <c r="N49" s="24"/>
    </row>
    <row r="50">
      <c r="A50" s="66" t="s">
        <v>328</v>
      </c>
      <c r="B50" s="69" t="s">
        <v>339</v>
      </c>
      <c r="C50" s="68" t="s">
        <v>340</v>
      </c>
      <c r="J50" s="24"/>
      <c r="K50" s="24"/>
      <c r="L50" s="24"/>
      <c r="M50" s="24"/>
      <c r="N50" s="24"/>
    </row>
    <row r="51">
      <c r="A51" s="63" t="s">
        <v>328</v>
      </c>
      <c r="B51" s="64" t="s">
        <v>341</v>
      </c>
      <c r="C51" s="65" t="s">
        <v>342</v>
      </c>
      <c r="J51" s="24"/>
      <c r="K51" s="24"/>
      <c r="L51" s="24"/>
      <c r="M51" s="24"/>
      <c r="N51" s="24"/>
    </row>
    <row r="52">
      <c r="A52" s="66" t="s">
        <v>343</v>
      </c>
      <c r="B52" s="69" t="s">
        <v>344</v>
      </c>
      <c r="C52" s="68" t="s">
        <v>345</v>
      </c>
      <c r="J52" s="24"/>
      <c r="K52" s="24"/>
      <c r="L52" s="24"/>
      <c r="M52" s="24"/>
      <c r="N52" s="24"/>
    </row>
    <row r="53">
      <c r="A53" s="63" t="s">
        <v>343</v>
      </c>
      <c r="B53" s="64" t="s">
        <v>348</v>
      </c>
      <c r="C53" s="65" t="s">
        <v>349</v>
      </c>
      <c r="F53" s="24"/>
      <c r="J53" s="24"/>
      <c r="K53" s="24"/>
      <c r="L53" s="24"/>
      <c r="M53" s="24"/>
      <c r="N53" s="24"/>
    </row>
    <row r="54">
      <c r="A54" s="66" t="s">
        <v>343</v>
      </c>
      <c r="B54" s="69" t="s">
        <v>350</v>
      </c>
      <c r="C54" s="68" t="s">
        <v>351</v>
      </c>
      <c r="F54" s="24"/>
      <c r="J54" s="24"/>
      <c r="K54" s="24"/>
      <c r="L54" s="24"/>
      <c r="M54" s="24"/>
      <c r="N54" s="24"/>
    </row>
    <row r="55">
      <c r="A55" s="63" t="s">
        <v>343</v>
      </c>
      <c r="B55" s="64" t="s">
        <v>352</v>
      </c>
      <c r="C55" s="65" t="s">
        <v>353</v>
      </c>
      <c r="F55" s="24"/>
      <c r="J55" s="24"/>
      <c r="K55" s="24"/>
      <c r="L55" s="24"/>
      <c r="M55" s="24"/>
      <c r="N55" s="24"/>
    </row>
    <row r="56">
      <c r="A56" s="70" t="s">
        <v>343</v>
      </c>
      <c r="B56" s="71" t="s">
        <v>354</v>
      </c>
      <c r="C56" s="72" t="s">
        <v>355</v>
      </c>
      <c r="F56" s="24"/>
      <c r="J56" s="24"/>
      <c r="K56" s="24"/>
      <c r="L56" s="24"/>
      <c r="M56" s="24"/>
      <c r="N56" s="24"/>
    </row>
    <row r="57">
      <c r="A57" s="73"/>
      <c r="B57" s="74"/>
      <c r="C57" s="75"/>
      <c r="F57" s="24"/>
      <c r="J57" s="24"/>
      <c r="K57" s="24"/>
      <c r="L57" s="24"/>
      <c r="M57" s="24"/>
      <c r="N57" s="24"/>
    </row>
    <row r="58">
      <c r="A58" s="77" t="s">
        <v>357</v>
      </c>
      <c r="B58" s="77" t="s">
        <v>358</v>
      </c>
      <c r="C58" s="77" t="s">
        <v>359</v>
      </c>
      <c r="F58" s="24"/>
      <c r="J58" s="24"/>
      <c r="K58" s="24"/>
      <c r="L58" s="24"/>
      <c r="M58" s="24"/>
      <c r="N58" s="24"/>
    </row>
    <row r="59">
      <c r="A59" s="79" t="s">
        <v>360</v>
      </c>
      <c r="B59" s="79" t="s">
        <v>361</v>
      </c>
      <c r="C59" s="79" t="s">
        <v>362</v>
      </c>
      <c r="F59" s="24"/>
      <c r="J59" s="24"/>
      <c r="K59" s="24"/>
      <c r="L59" s="24"/>
      <c r="M59" s="24"/>
      <c r="N59" s="24"/>
    </row>
    <row r="60">
      <c r="A60" s="79" t="s">
        <v>363</v>
      </c>
      <c r="B60" s="79" t="s">
        <v>364</v>
      </c>
      <c r="C60" s="79" t="s">
        <v>365</v>
      </c>
      <c r="F60" s="24"/>
      <c r="J60" s="24"/>
      <c r="K60" s="24"/>
      <c r="L60" s="24"/>
      <c r="M60" s="24"/>
      <c r="N60" s="24"/>
    </row>
    <row r="61">
      <c r="A61" s="79" t="s">
        <v>366</v>
      </c>
      <c r="B61" s="79" t="s">
        <v>367</v>
      </c>
      <c r="C61" s="79" t="s">
        <v>368</v>
      </c>
      <c r="F61" s="24"/>
      <c r="J61" s="24"/>
      <c r="K61" s="24"/>
      <c r="L61" s="24"/>
      <c r="M61" s="24"/>
      <c r="N61" s="24"/>
    </row>
    <row r="62">
      <c r="A62" s="79" t="s">
        <v>369</v>
      </c>
      <c r="B62" s="79" t="s">
        <v>370</v>
      </c>
      <c r="C62" s="79" t="s">
        <v>371</v>
      </c>
      <c r="F62" s="24"/>
      <c r="J62" s="24"/>
      <c r="K62" s="24"/>
      <c r="L62" s="24"/>
      <c r="M62" s="24"/>
      <c r="N62" s="24"/>
    </row>
    <row r="63">
      <c r="A63" s="79" t="s">
        <v>372</v>
      </c>
      <c r="B63" s="79" t="s">
        <v>373</v>
      </c>
      <c r="C63" s="79" t="s">
        <v>374</v>
      </c>
      <c r="F63" s="24"/>
      <c r="J63" s="24"/>
      <c r="K63" s="24"/>
      <c r="L63" s="24"/>
      <c r="M63" s="24"/>
      <c r="N63" s="24"/>
    </row>
    <row r="64">
      <c r="A64" s="79" t="s">
        <v>375</v>
      </c>
      <c r="B64" s="79" t="s">
        <v>376</v>
      </c>
      <c r="C64" s="79" t="s">
        <v>377</v>
      </c>
      <c r="F64" s="24"/>
      <c r="J64" s="24"/>
      <c r="K64" s="24"/>
      <c r="L64" s="24"/>
      <c r="M64" s="24"/>
      <c r="N64" s="24"/>
    </row>
    <row r="65">
      <c r="A65" s="79" t="s">
        <v>378</v>
      </c>
      <c r="B65" s="79" t="s">
        <v>379</v>
      </c>
      <c r="C65" s="79" t="s">
        <v>380</v>
      </c>
      <c r="F65" s="24"/>
      <c r="J65" s="24"/>
      <c r="K65" s="24"/>
      <c r="L65" s="24"/>
      <c r="M65" s="24"/>
      <c r="N65" s="24"/>
    </row>
    <row r="66">
      <c r="A66" s="79" t="s">
        <v>381</v>
      </c>
      <c r="B66" s="79" t="s">
        <v>382</v>
      </c>
      <c r="C66" s="79" t="s">
        <v>383</v>
      </c>
      <c r="F66" s="24"/>
      <c r="J66" s="24"/>
      <c r="K66" s="24"/>
      <c r="L66" s="24"/>
      <c r="M66" s="24"/>
      <c r="N66" s="24"/>
    </row>
    <row r="67">
      <c r="A67" s="79" t="s">
        <v>384</v>
      </c>
      <c r="B67" s="79" t="s">
        <v>385</v>
      </c>
      <c r="C67" s="79" t="s">
        <v>386</v>
      </c>
      <c r="F67" s="24"/>
      <c r="J67" s="24"/>
      <c r="K67" s="24"/>
      <c r="L67" s="24"/>
      <c r="M67" s="24"/>
      <c r="N67" s="24"/>
    </row>
    <row r="68">
      <c r="A68" s="79" t="s">
        <v>387</v>
      </c>
      <c r="B68" s="79" t="s">
        <v>388</v>
      </c>
      <c r="C68" s="79" t="s">
        <v>389</v>
      </c>
      <c r="F68" s="24"/>
      <c r="J68" s="24"/>
      <c r="K68" s="24"/>
      <c r="L68" s="24"/>
      <c r="M68" s="24"/>
      <c r="N68" s="24"/>
    </row>
    <row r="69">
      <c r="A69" s="79" t="s">
        <v>390</v>
      </c>
      <c r="B69" s="79" t="s">
        <v>391</v>
      </c>
      <c r="C69" s="79" t="s">
        <v>392</v>
      </c>
      <c r="F69" s="24"/>
      <c r="J69" s="24"/>
      <c r="K69" s="24"/>
      <c r="L69" s="24"/>
      <c r="M69" s="24"/>
      <c r="N69" s="24"/>
    </row>
    <row r="70">
      <c r="A70" s="79" t="s">
        <v>393</v>
      </c>
      <c r="B70" s="79" t="s">
        <v>394</v>
      </c>
      <c r="C70" s="79" t="s">
        <v>395</v>
      </c>
      <c r="F70" s="24"/>
      <c r="J70" s="24"/>
      <c r="K70" s="24"/>
      <c r="L70" s="24"/>
      <c r="M70" s="24"/>
      <c r="N70" s="24"/>
    </row>
    <row r="71">
      <c r="F71" s="24"/>
      <c r="J71" s="24"/>
      <c r="K71" s="24"/>
      <c r="L71" s="24"/>
      <c r="M71" s="24"/>
      <c r="N71" s="24"/>
    </row>
    <row r="72">
      <c r="F72" s="24"/>
      <c r="G72" s="24"/>
      <c r="H72" s="24"/>
      <c r="I72" s="24"/>
      <c r="J72" s="24"/>
      <c r="K72" s="24"/>
      <c r="L72" s="24"/>
      <c r="M72" s="24"/>
      <c r="N72" s="24"/>
    </row>
    <row r="73">
      <c r="F73" s="24"/>
      <c r="G73" s="24"/>
      <c r="H73" s="24"/>
      <c r="I73" s="24"/>
      <c r="J73" s="24"/>
      <c r="K73" s="24"/>
      <c r="L73" s="24"/>
      <c r="M73" s="24"/>
      <c r="N73" s="24"/>
    </row>
    <row r="74">
      <c r="F74" s="81"/>
      <c r="G74" s="24"/>
      <c r="H74" s="24"/>
      <c r="I74" s="24"/>
      <c r="J74" s="24"/>
      <c r="K74" s="24"/>
      <c r="L74" s="24"/>
      <c r="M74" s="24"/>
      <c r="N74" s="24"/>
    </row>
    <row r="75">
      <c r="F75" s="82"/>
      <c r="G75" s="24"/>
      <c r="H75" s="24"/>
      <c r="I75" s="24"/>
      <c r="J75" s="24"/>
      <c r="K75" s="24"/>
      <c r="L75" s="24"/>
      <c r="M75" s="24"/>
      <c r="N75" s="24"/>
    </row>
    <row r="76">
      <c r="F76" s="56"/>
      <c r="G76" s="24"/>
      <c r="H76" s="24"/>
      <c r="I76" s="24"/>
      <c r="J76" s="24"/>
      <c r="K76" s="24"/>
      <c r="L76" s="24"/>
      <c r="M76" s="24"/>
      <c r="N76" s="24"/>
    </row>
    <row r="77">
      <c r="F77" s="56"/>
      <c r="G77" s="24"/>
      <c r="H77" s="24"/>
      <c r="I77" s="24"/>
      <c r="J77" s="24"/>
      <c r="K77" s="24"/>
      <c r="L77" s="24"/>
      <c r="M77" s="24"/>
      <c r="N77" s="24"/>
    </row>
    <row r="78">
      <c r="F78" s="56"/>
      <c r="G78" s="24"/>
      <c r="H78" s="24"/>
      <c r="I78" s="24"/>
      <c r="J78" s="24"/>
      <c r="K78" s="24"/>
      <c r="L78" s="24"/>
      <c r="M78" s="24"/>
      <c r="N78" s="24"/>
    </row>
    <row r="79">
      <c r="F79" s="56"/>
      <c r="G79" s="24"/>
      <c r="H79" s="24"/>
      <c r="I79" s="24"/>
      <c r="J79" s="24"/>
      <c r="K79" s="24"/>
      <c r="L79" s="24"/>
      <c r="M79" s="24"/>
      <c r="N79" s="24"/>
    </row>
    <row r="80">
      <c r="F80" s="24"/>
      <c r="G80" s="24"/>
      <c r="H80" s="24"/>
      <c r="I80" s="24"/>
      <c r="J80" s="24"/>
      <c r="K80" s="24"/>
      <c r="L80" s="24"/>
      <c r="M80" s="24"/>
      <c r="N80" s="24"/>
    </row>
    <row r="81">
      <c r="F81" s="24"/>
      <c r="G81" s="24"/>
      <c r="H81" s="24"/>
      <c r="I81" s="24"/>
      <c r="J81" s="24"/>
      <c r="K81" s="24"/>
      <c r="L81" s="24"/>
      <c r="M81" s="24"/>
      <c r="N81" s="24"/>
    </row>
    <row r="82" ht="21.0" customHeight="1">
      <c r="F82" s="24"/>
      <c r="G82" s="24"/>
      <c r="H82" s="24"/>
      <c r="I82" s="24"/>
      <c r="J82" s="24"/>
      <c r="K82" s="24"/>
      <c r="L82" s="24"/>
      <c r="M82" s="24"/>
      <c r="N82" s="24"/>
    </row>
    <row r="83" ht="24.0" customHeight="1">
      <c r="F83" s="24"/>
      <c r="G83" s="24"/>
      <c r="H83" s="24"/>
      <c r="I83" s="24"/>
      <c r="J83" s="24"/>
      <c r="K83" s="24"/>
      <c r="L83" s="24"/>
      <c r="M83" s="24"/>
      <c r="N83" s="24"/>
    </row>
    <row r="84" ht="24.0" customHeight="1">
      <c r="F84" s="24"/>
      <c r="G84" s="24"/>
      <c r="H84" s="24"/>
      <c r="I84" s="24"/>
      <c r="J84" s="24"/>
      <c r="K84" s="24"/>
      <c r="L84" s="24"/>
      <c r="M84" s="24"/>
      <c r="N84" s="24"/>
    </row>
    <row r="85" ht="24.0" customHeight="1">
      <c r="F85" s="24"/>
      <c r="G85" s="24"/>
      <c r="H85" s="24"/>
      <c r="I85" s="24"/>
      <c r="J85" s="24"/>
      <c r="K85" s="24"/>
      <c r="L85" s="24"/>
      <c r="M85" s="24"/>
      <c r="N85" s="24"/>
    </row>
    <row r="86" ht="24.0" customHeight="1">
      <c r="F86" s="24"/>
      <c r="G86" s="24"/>
      <c r="H86" s="24"/>
      <c r="I86" s="24"/>
      <c r="J86" s="24"/>
      <c r="K86" s="24"/>
      <c r="L86" s="24"/>
      <c r="M86" s="24"/>
      <c r="N86" s="24"/>
    </row>
    <row r="87" ht="24.0" customHeight="1"/>
    <row r="88" ht="24.0" customHeight="1"/>
    <row r="89"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1" ht="24.0" customHeight="1"/>
    <row r="92" ht="24.0" customHeight="1"/>
    <row r="93" ht="24.0" customHeight="1"/>
    <row r="94" ht="24.0" customHeight="1"/>
    <row r="95" ht="24.0" customHeight="1"/>
    <row r="96" ht="24.0" customHeight="1"/>
    <row r="97" ht="24.0" customHeight="1"/>
    <row r="99" ht="24.0" customHeight="1"/>
    <row r="100" ht="24.0" customHeight="1"/>
    <row r="102">
      <c r="A102" s="24"/>
      <c r="B102" s="24"/>
      <c r="C102" s="24"/>
      <c r="D102" s="24"/>
      <c r="E102" s="24"/>
    </row>
    <row r="108">
      <c r="A108" s="24"/>
      <c r="B108" s="24"/>
      <c r="C108" s="24"/>
      <c r="D108" s="24"/>
      <c r="E108" s="24"/>
    </row>
    <row r="109">
      <c r="D109" s="24"/>
      <c r="E109" s="24"/>
    </row>
    <row r="110">
      <c r="D110" s="24"/>
      <c r="E110" s="24"/>
    </row>
    <row r="111">
      <c r="D111" s="24"/>
      <c r="E111" s="24"/>
    </row>
  </sheetData>
  <mergeCells count="1">
    <mergeCell ref="A11:E11"/>
  </mergeCells>
  <hyperlinks>
    <hyperlink display="117 Battles" location="'117 Battles '!A1" ref="B41"/>
    <hyperlink display="Top Battlegrounds" location="'Top Battlegrounds'!A1" ref="B42"/>
    <hyperlink display="Assembly Competitiveness" location="'Assembly Competitiveness'!A1" ref="B43"/>
    <hyperlink display="Assembly Volatality" location="'Assembly Volatality'!A1" ref="B44"/>
    <hyperlink display="Assembly Trajectories" location="'Assembly Trajectories'!A1" ref="B45"/>
    <hyperlink display="Party wise Performance" location="'Party wise Performance'!A1" ref="B46"/>
    <hyperlink display="Party Social Coalitions" location="'Party Social Coalitions'!A1" ref="B47"/>
    <hyperlink display="Political Geography" location="'Political Geography'!A1" ref="B48"/>
    <hyperlink display="Voter Groups" location="'Voter Groups'!A1" ref="B49"/>
    <hyperlink display="Issues" location="Issues!A1" ref="B50"/>
    <hyperlink display="Final Assesment" location="'Final Assesment'!A1" ref="B51"/>
    <hyperlink display="2024 LS" location="'2024 LS'!A1" ref="B52"/>
    <hyperlink display="2022 Assembly" location="'2022 Assembly'!A1" ref="B53"/>
    <hyperlink display="2019 LS" location="'2019 LS'!A1" ref="B54"/>
    <hyperlink display="2017 Assembly" location="'2017 Assembly'!A1" ref="B55"/>
    <hyperlink display="LS Segments" location="'LS Segments'!A1" ref="B56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33.63"/>
    <col customWidth="1" min="3" max="3" width="49.25"/>
    <col customWidth="1" min="4" max="4" width="36.13"/>
    <col customWidth="1" min="5" max="5" width="23.13"/>
    <col customWidth="1" min="6" max="6" width="29.25"/>
    <col customWidth="1" min="7" max="7" width="31.13"/>
    <col customWidth="1" min="8" max="8" width="33.25"/>
  </cols>
  <sheetData>
    <row r="1">
      <c r="A1" s="1" t="s">
        <v>0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8" t="s">
        <v>4</v>
      </c>
      <c r="B3" s="10" t="s">
        <v>6</v>
      </c>
      <c r="C3" s="10" t="s">
        <v>10</v>
      </c>
      <c r="D3" s="10" t="s">
        <v>14</v>
      </c>
      <c r="E3" s="10" t="s">
        <v>17</v>
      </c>
      <c r="F3" s="10" t="s">
        <v>19</v>
      </c>
      <c r="G3" s="10" t="s">
        <v>21</v>
      </c>
      <c r="H3" s="10" t="s">
        <v>23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5" t="s">
        <v>32</v>
      </c>
      <c r="B4" s="18" t="s">
        <v>33</v>
      </c>
      <c r="C4" s="20" t="s">
        <v>37</v>
      </c>
      <c r="D4" s="20" t="s">
        <v>38</v>
      </c>
      <c r="E4" s="20" t="s">
        <v>39</v>
      </c>
      <c r="F4" s="20" t="s">
        <v>41</v>
      </c>
      <c r="G4" s="20" t="s">
        <v>42</v>
      </c>
      <c r="H4" s="20" t="s">
        <v>43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5" t="s">
        <v>45</v>
      </c>
      <c r="B5" s="20" t="s">
        <v>46</v>
      </c>
      <c r="C5" s="20" t="s">
        <v>48</v>
      </c>
      <c r="D5" s="20" t="s">
        <v>50</v>
      </c>
      <c r="E5" s="20" t="s">
        <v>52</v>
      </c>
      <c r="F5" s="20" t="s">
        <v>54</v>
      </c>
      <c r="G5" s="20" t="s">
        <v>55</v>
      </c>
      <c r="H5" s="20" t="s">
        <v>43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5" t="s">
        <v>53</v>
      </c>
      <c r="B6" s="20" t="s">
        <v>57</v>
      </c>
      <c r="C6" s="20" t="s">
        <v>58</v>
      </c>
      <c r="D6" s="20" t="s">
        <v>62</v>
      </c>
      <c r="E6" s="20" t="s">
        <v>64</v>
      </c>
      <c r="F6" s="20" t="s">
        <v>65</v>
      </c>
      <c r="G6" s="20" t="s">
        <v>66</v>
      </c>
      <c r="H6" s="20" t="s">
        <v>67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5" t="s">
        <v>51</v>
      </c>
      <c r="B7" s="20" t="s">
        <v>68</v>
      </c>
      <c r="C7" s="20" t="s">
        <v>69</v>
      </c>
      <c r="D7" s="20" t="s">
        <v>70</v>
      </c>
      <c r="E7" s="20" t="s">
        <v>71</v>
      </c>
      <c r="F7" s="20" t="s">
        <v>72</v>
      </c>
      <c r="G7" s="20" t="s">
        <v>73</v>
      </c>
      <c r="H7" s="20" t="s">
        <v>67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5" t="s">
        <v>74</v>
      </c>
      <c r="B8" s="20" t="s">
        <v>75</v>
      </c>
      <c r="C8" s="20" t="s">
        <v>76</v>
      </c>
      <c r="D8" s="20" t="s">
        <v>77</v>
      </c>
      <c r="E8" s="20" t="s">
        <v>78</v>
      </c>
      <c r="F8" s="20" t="s">
        <v>79</v>
      </c>
      <c r="G8" s="20" t="s">
        <v>80</v>
      </c>
      <c r="H8" s="20" t="s">
        <v>67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5" t="s">
        <v>81</v>
      </c>
      <c r="B9" s="20" t="s">
        <v>82</v>
      </c>
      <c r="C9" s="20" t="s">
        <v>83</v>
      </c>
      <c r="D9" s="20" t="s">
        <v>84</v>
      </c>
      <c r="E9" s="20" t="s">
        <v>85</v>
      </c>
      <c r="F9" s="20" t="s">
        <v>86</v>
      </c>
      <c r="G9" s="20" t="s">
        <v>87</v>
      </c>
      <c r="H9" s="20" t="s">
        <v>88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3"/>
      <c r="B10" s="24"/>
      <c r="C10" s="24"/>
      <c r="D10" s="24"/>
      <c r="E10" s="24"/>
      <c r="F10" s="24"/>
      <c r="G10" s="24"/>
      <c r="H10" s="2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3"/>
      <c r="C11" s="24"/>
      <c r="D11" s="24"/>
      <c r="E11" s="24"/>
      <c r="F11" s="24"/>
      <c r="G11" s="24"/>
      <c r="H11" s="2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3"/>
      <c r="B12" s="24"/>
      <c r="C12" s="24"/>
      <c r="D12" s="24"/>
      <c r="E12" s="24"/>
      <c r="F12" s="24"/>
      <c r="G12" s="24"/>
      <c r="H12" s="24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3"/>
      <c r="B13" s="24"/>
      <c r="C13" s="24"/>
      <c r="D13" s="24"/>
      <c r="E13" s="24"/>
      <c r="F13" s="24"/>
      <c r="G13" s="24"/>
      <c r="H13" s="24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3"/>
      <c r="B14" s="24"/>
      <c r="C14" s="24"/>
      <c r="D14" s="24"/>
      <c r="E14" s="24"/>
      <c r="F14" s="24"/>
      <c r="G14" s="24"/>
      <c r="H14" s="24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 t="s">
        <v>89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" t="s">
        <v>90</v>
      </c>
      <c r="B16" s="10" t="s">
        <v>91</v>
      </c>
      <c r="C16" s="10" t="s">
        <v>92</v>
      </c>
      <c r="D16" s="10" t="s">
        <v>93</v>
      </c>
      <c r="E16" s="10" t="s">
        <v>94</v>
      </c>
      <c r="F16" s="10" t="s">
        <v>95</v>
      </c>
      <c r="G16" s="10" t="s">
        <v>96</v>
      </c>
      <c r="H16" s="10" t="s">
        <v>97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5" t="s">
        <v>32</v>
      </c>
      <c r="B17" s="20" t="s">
        <v>98</v>
      </c>
      <c r="C17" s="20" t="s">
        <v>99</v>
      </c>
      <c r="D17" s="20" t="s">
        <v>100</v>
      </c>
      <c r="E17" s="20" t="s">
        <v>101</v>
      </c>
      <c r="F17" s="20" t="s">
        <v>35</v>
      </c>
      <c r="G17" s="20" t="s">
        <v>102</v>
      </c>
      <c r="H17" s="20" t="s">
        <v>103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5" t="s">
        <v>45</v>
      </c>
      <c r="B18" s="20" t="s">
        <v>104</v>
      </c>
      <c r="C18" s="20" t="s">
        <v>105</v>
      </c>
      <c r="D18" s="20" t="s">
        <v>106</v>
      </c>
      <c r="E18" s="20" t="s">
        <v>107</v>
      </c>
      <c r="F18" s="20" t="s">
        <v>35</v>
      </c>
      <c r="G18" s="20" t="s">
        <v>108</v>
      </c>
      <c r="H18" s="20" t="s">
        <v>109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5" t="s">
        <v>51</v>
      </c>
      <c r="B19" s="20" t="s">
        <v>110</v>
      </c>
      <c r="C19" s="20" t="s">
        <v>111</v>
      </c>
      <c r="D19" s="20" t="s">
        <v>112</v>
      </c>
      <c r="E19" s="20" t="s">
        <v>113</v>
      </c>
      <c r="F19" s="20" t="s">
        <v>35</v>
      </c>
      <c r="G19" s="20" t="s">
        <v>114</v>
      </c>
      <c r="H19" s="20" t="s">
        <v>115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5" t="s">
        <v>53</v>
      </c>
      <c r="B20" s="20" t="s">
        <v>116</v>
      </c>
      <c r="C20" s="20" t="s">
        <v>117</v>
      </c>
      <c r="D20" s="20" t="s">
        <v>118</v>
      </c>
      <c r="E20" s="20" t="s">
        <v>119</v>
      </c>
      <c r="F20" s="20" t="s">
        <v>120</v>
      </c>
      <c r="G20" s="20" t="s">
        <v>121</v>
      </c>
      <c r="H20" s="20" t="s">
        <v>122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5" t="s">
        <v>74</v>
      </c>
      <c r="B21" s="20" t="s">
        <v>123</v>
      </c>
      <c r="C21" s="20" t="s">
        <v>124</v>
      </c>
      <c r="D21" s="20" t="s">
        <v>125</v>
      </c>
      <c r="E21" s="20" t="s">
        <v>126</v>
      </c>
      <c r="F21" s="20" t="s">
        <v>127</v>
      </c>
      <c r="G21" s="20" t="s">
        <v>128</v>
      </c>
      <c r="H21" s="20" t="s">
        <v>129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5" t="s">
        <v>130</v>
      </c>
      <c r="B22" s="20" t="s">
        <v>131</v>
      </c>
      <c r="C22" s="20" t="s">
        <v>132</v>
      </c>
      <c r="D22" s="20" t="s">
        <v>133</v>
      </c>
      <c r="E22" s="20" t="s">
        <v>134</v>
      </c>
      <c r="F22" s="18" t="s">
        <v>135</v>
      </c>
      <c r="G22" s="20" t="s">
        <v>136</v>
      </c>
      <c r="H22" s="20" t="s">
        <v>137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3"/>
      <c r="B23" s="24"/>
      <c r="C23" s="24"/>
      <c r="D23" s="24"/>
      <c r="E23" s="24"/>
      <c r="F23" s="24"/>
      <c r="G23" s="24"/>
      <c r="H23" s="24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3"/>
      <c r="B24" s="24"/>
      <c r="C24" s="24"/>
      <c r="D24" s="24"/>
      <c r="E24" s="24"/>
      <c r="F24" s="24"/>
      <c r="G24" s="24"/>
      <c r="H24" s="24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3"/>
      <c r="B25" s="24"/>
      <c r="C25" s="24"/>
      <c r="D25" s="24"/>
      <c r="E25" s="24"/>
      <c r="F25" s="24"/>
      <c r="G25" s="24"/>
      <c r="H25" s="24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3"/>
      <c r="B26" s="24"/>
      <c r="C26" s="24"/>
      <c r="D26" s="24"/>
      <c r="E26" s="24"/>
      <c r="F26" s="24"/>
      <c r="G26" s="24"/>
      <c r="H26" s="24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3"/>
      <c r="B27" s="24"/>
      <c r="C27" s="24"/>
      <c r="D27" s="24"/>
      <c r="E27" s="24"/>
      <c r="F27" s="24"/>
      <c r="G27" s="24"/>
      <c r="H27" s="24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6" t="s">
        <v>141</v>
      </c>
      <c r="B29" s="10" t="s">
        <v>142</v>
      </c>
      <c r="C29" s="27" t="s">
        <v>143</v>
      </c>
      <c r="D29" s="27" t="s">
        <v>144</v>
      </c>
      <c r="E29" s="27" t="s">
        <v>145</v>
      </c>
      <c r="F29" s="27" t="s">
        <v>146</v>
      </c>
      <c r="G29" s="27" t="s">
        <v>147</v>
      </c>
      <c r="H29" s="28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5">
        <v>1.0</v>
      </c>
      <c r="B30" s="20" t="s">
        <v>150</v>
      </c>
      <c r="C30" s="20" t="s">
        <v>151</v>
      </c>
      <c r="D30" s="20" t="s">
        <v>152</v>
      </c>
      <c r="E30" s="20" t="s">
        <v>153</v>
      </c>
      <c r="F30" s="20" t="s">
        <v>154</v>
      </c>
      <c r="G30" s="18" t="s">
        <v>155</v>
      </c>
      <c r="H30" s="24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5">
        <v>2.0</v>
      </c>
      <c r="B31" s="20" t="s">
        <v>156</v>
      </c>
      <c r="C31" s="20" t="s">
        <v>157</v>
      </c>
      <c r="D31" s="20" t="s">
        <v>158</v>
      </c>
      <c r="E31" s="20" t="s">
        <v>159</v>
      </c>
      <c r="F31" s="20" t="s">
        <v>160</v>
      </c>
      <c r="G31" s="20" t="s">
        <v>161</v>
      </c>
      <c r="H31" s="24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5">
        <v>3.0</v>
      </c>
      <c r="B32" s="20" t="s">
        <v>162</v>
      </c>
      <c r="C32" s="20" t="s">
        <v>163</v>
      </c>
      <c r="D32" s="20" t="s">
        <v>164</v>
      </c>
      <c r="E32" s="20" t="s">
        <v>165</v>
      </c>
      <c r="F32" s="20" t="s">
        <v>166</v>
      </c>
      <c r="G32" s="20" t="s">
        <v>167</v>
      </c>
      <c r="H32" s="24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5">
        <v>4.0</v>
      </c>
      <c r="B33" s="20" t="s">
        <v>168</v>
      </c>
      <c r="C33" s="20" t="s">
        <v>169</v>
      </c>
      <c r="D33" s="20" t="s">
        <v>170</v>
      </c>
      <c r="E33" s="20" t="s">
        <v>171</v>
      </c>
      <c r="F33" s="20" t="s">
        <v>172</v>
      </c>
      <c r="G33" s="20" t="s">
        <v>173</v>
      </c>
      <c r="H33" s="24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5">
        <v>5.0</v>
      </c>
      <c r="B34" s="20" t="s">
        <v>174</v>
      </c>
      <c r="C34" s="20" t="s">
        <v>175</v>
      </c>
      <c r="D34" s="20" t="s">
        <v>176</v>
      </c>
      <c r="E34" s="20" t="s">
        <v>177</v>
      </c>
      <c r="F34" s="20" t="s">
        <v>178</v>
      </c>
      <c r="G34" s="20" t="s">
        <v>179</v>
      </c>
      <c r="H34" s="24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5">
        <v>6.0</v>
      </c>
      <c r="B35" s="20" t="s">
        <v>180</v>
      </c>
      <c r="C35" s="20" t="s">
        <v>181</v>
      </c>
      <c r="D35" s="20" t="s">
        <v>182</v>
      </c>
      <c r="E35" s="20" t="s">
        <v>183</v>
      </c>
      <c r="F35" s="20" t="s">
        <v>184</v>
      </c>
      <c r="G35" s="20" t="s">
        <v>185</v>
      </c>
      <c r="H35" s="24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5">
        <v>7.0</v>
      </c>
      <c r="B36" s="20" t="s">
        <v>186</v>
      </c>
      <c r="C36" s="20" t="s">
        <v>187</v>
      </c>
      <c r="D36" s="20" t="s">
        <v>188</v>
      </c>
      <c r="E36" s="20" t="s">
        <v>189</v>
      </c>
      <c r="F36" s="20" t="s">
        <v>190</v>
      </c>
      <c r="G36" s="20" t="s">
        <v>191</v>
      </c>
      <c r="H36" s="24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5">
        <v>8.0</v>
      </c>
      <c r="B37" s="20" t="s">
        <v>192</v>
      </c>
      <c r="C37" s="20" t="s">
        <v>193</v>
      </c>
      <c r="D37" s="20" t="s">
        <v>194</v>
      </c>
      <c r="E37" s="20" t="s">
        <v>195</v>
      </c>
      <c r="F37" s="20" t="s">
        <v>196</v>
      </c>
      <c r="G37" s="20" t="s">
        <v>197</v>
      </c>
      <c r="H37" s="24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5">
        <v>9.0</v>
      </c>
      <c r="B38" s="20" t="s">
        <v>198</v>
      </c>
      <c r="C38" s="20" t="s">
        <v>199</v>
      </c>
      <c r="D38" s="20" t="s">
        <v>200</v>
      </c>
      <c r="E38" s="20" t="s">
        <v>201</v>
      </c>
      <c r="F38" s="20" t="s">
        <v>202</v>
      </c>
      <c r="G38" s="20" t="s">
        <v>203</v>
      </c>
      <c r="H38" s="24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5">
        <v>10.0</v>
      </c>
      <c r="B39" s="20" t="s">
        <v>204</v>
      </c>
      <c r="C39" s="20" t="s">
        <v>205</v>
      </c>
      <c r="D39" s="20" t="s">
        <v>206</v>
      </c>
      <c r="E39" s="20" t="s">
        <v>207</v>
      </c>
      <c r="F39" s="20" t="s">
        <v>208</v>
      </c>
      <c r="G39" s="20" t="s">
        <v>209</v>
      </c>
      <c r="H39" s="24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3"/>
      <c r="B40" s="24"/>
      <c r="C40" s="24"/>
      <c r="D40" s="24"/>
      <c r="E40" s="24"/>
      <c r="F40" s="24"/>
      <c r="G40" s="24"/>
      <c r="H40" s="24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3"/>
      <c r="B41" s="24"/>
      <c r="C41" s="24"/>
      <c r="D41" s="24"/>
      <c r="E41" s="24"/>
      <c r="F41" s="24"/>
      <c r="G41" s="24"/>
      <c r="H41" s="24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3"/>
      <c r="B42" s="24"/>
      <c r="C42" s="24"/>
      <c r="D42" s="24"/>
      <c r="E42" s="24"/>
      <c r="F42" s="24"/>
      <c r="G42" s="24"/>
      <c r="H42" s="24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3"/>
      <c r="B43" s="24"/>
      <c r="C43" s="24"/>
      <c r="D43" s="24"/>
      <c r="E43" s="24"/>
      <c r="F43" s="24"/>
      <c r="G43" s="24"/>
      <c r="H43" s="24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3"/>
      <c r="B44" s="24"/>
      <c r="C44" s="24"/>
      <c r="D44" s="24"/>
      <c r="E44" s="24"/>
      <c r="F44" s="24"/>
      <c r="G44" s="24"/>
      <c r="H44" s="24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3"/>
      <c r="B45" s="24"/>
      <c r="C45" s="24"/>
      <c r="D45" s="24"/>
      <c r="E45" s="24"/>
      <c r="F45" s="24"/>
      <c r="G45" s="24"/>
      <c r="H45" s="24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3"/>
      <c r="B46" s="24"/>
      <c r="C46" s="24"/>
      <c r="D46" s="24"/>
      <c r="E46" s="24"/>
      <c r="F46" s="24"/>
      <c r="G46" s="24"/>
      <c r="H46" s="24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3"/>
      <c r="B47" s="24"/>
      <c r="C47" s="24"/>
      <c r="D47" s="24"/>
      <c r="E47" s="24"/>
      <c r="F47" s="24"/>
      <c r="G47" s="24"/>
      <c r="H47" s="24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3"/>
      <c r="B48" s="24"/>
      <c r="C48" s="24"/>
      <c r="D48" s="24"/>
      <c r="E48" s="24"/>
      <c r="F48" s="24"/>
      <c r="G48" s="24"/>
      <c r="H48" s="24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3"/>
      <c r="B49" s="24"/>
      <c r="C49" s="24"/>
      <c r="D49" s="24"/>
      <c r="E49" s="24"/>
      <c r="F49" s="24"/>
      <c r="G49" s="24"/>
      <c r="H49" s="24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3"/>
      <c r="B50" s="24"/>
      <c r="C50" s="24"/>
      <c r="D50" s="24"/>
      <c r="E50" s="24"/>
      <c r="F50" s="24"/>
      <c r="G50" s="24"/>
      <c r="H50" s="24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3"/>
      <c r="B51" s="24"/>
      <c r="C51" s="24"/>
      <c r="D51" s="24"/>
      <c r="E51" s="24"/>
      <c r="F51" s="24"/>
      <c r="G51" s="24"/>
      <c r="H51" s="24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3"/>
      <c r="B52" s="24"/>
      <c r="C52" s="24"/>
      <c r="D52" s="24"/>
      <c r="E52" s="24"/>
      <c r="F52" s="24"/>
      <c r="G52" s="24"/>
      <c r="H52" s="24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3"/>
      <c r="B53" s="24"/>
      <c r="C53" s="24"/>
      <c r="D53" s="24"/>
      <c r="E53" s="24"/>
      <c r="F53" s="24"/>
      <c r="G53" s="24"/>
      <c r="H53" s="24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3"/>
      <c r="B54" s="24"/>
      <c r="C54" s="24"/>
      <c r="D54" s="24"/>
      <c r="E54" s="24"/>
      <c r="F54" s="24"/>
      <c r="G54" s="24"/>
      <c r="H54" s="24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3"/>
      <c r="B55" s="24"/>
      <c r="C55" s="24"/>
      <c r="D55" s="24"/>
      <c r="E55" s="24"/>
      <c r="F55" s="24"/>
      <c r="G55" s="24"/>
      <c r="H55" s="24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3"/>
      <c r="B56" s="24"/>
      <c r="C56" s="24"/>
      <c r="D56" s="24"/>
      <c r="E56" s="24"/>
      <c r="F56" s="24"/>
      <c r="G56" s="24"/>
      <c r="H56" s="24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3"/>
      <c r="B57" s="24"/>
      <c r="C57" s="24"/>
      <c r="D57" s="24"/>
      <c r="E57" s="24"/>
      <c r="F57" s="24"/>
      <c r="G57" s="24"/>
      <c r="H57" s="24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3"/>
      <c r="B58" s="24"/>
      <c r="C58" s="24"/>
      <c r="D58" s="24"/>
      <c r="E58" s="24"/>
      <c r="F58" s="24"/>
      <c r="G58" s="24"/>
      <c r="H58" s="24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3"/>
      <c r="B59" s="24"/>
      <c r="C59" s="24"/>
      <c r="D59" s="24"/>
      <c r="E59" s="24"/>
      <c r="F59" s="24"/>
      <c r="G59" s="24"/>
      <c r="H59" s="24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3"/>
      <c r="B60" s="24"/>
      <c r="C60" s="24"/>
      <c r="D60" s="24"/>
      <c r="E60" s="24"/>
      <c r="F60" s="24"/>
      <c r="G60" s="24"/>
      <c r="H60" s="24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3"/>
      <c r="B61" s="24"/>
      <c r="C61" s="24"/>
      <c r="D61" s="24"/>
      <c r="E61" s="24"/>
      <c r="F61" s="24"/>
      <c r="G61" s="24"/>
      <c r="H61" s="24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3"/>
      <c r="B62" s="24"/>
      <c r="C62" s="24"/>
      <c r="D62" s="24"/>
      <c r="E62" s="24"/>
      <c r="F62" s="24"/>
      <c r="G62" s="24"/>
      <c r="H62" s="24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3"/>
      <c r="B63" s="24"/>
      <c r="C63" s="24"/>
      <c r="D63" s="24"/>
      <c r="E63" s="24"/>
      <c r="F63" s="24"/>
      <c r="G63" s="24"/>
      <c r="H63" s="24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3"/>
      <c r="B64" s="24"/>
      <c r="C64" s="24"/>
      <c r="D64" s="24"/>
      <c r="E64" s="24"/>
      <c r="F64" s="24"/>
      <c r="G64" s="24"/>
      <c r="H64" s="24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3"/>
      <c r="B65" s="24"/>
      <c r="C65" s="24"/>
      <c r="D65" s="24"/>
      <c r="E65" s="24"/>
      <c r="F65" s="24"/>
      <c r="G65" s="24"/>
      <c r="H65" s="24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3"/>
      <c r="B66" s="24"/>
      <c r="C66" s="24"/>
      <c r="D66" s="24"/>
      <c r="E66" s="24"/>
      <c r="F66" s="24"/>
      <c r="G66" s="24"/>
      <c r="H66" s="24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3"/>
      <c r="B67" s="24"/>
      <c r="C67" s="24"/>
      <c r="D67" s="24"/>
      <c r="E67" s="24"/>
      <c r="F67" s="24"/>
      <c r="G67" s="24"/>
      <c r="H67" s="24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3"/>
      <c r="B68" s="24"/>
      <c r="C68" s="24"/>
      <c r="D68" s="24"/>
      <c r="E68" s="24"/>
      <c r="F68" s="24"/>
      <c r="G68" s="24"/>
      <c r="H68" s="24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3"/>
      <c r="B69" s="24"/>
      <c r="C69" s="24"/>
      <c r="D69" s="24"/>
      <c r="E69" s="24"/>
      <c r="F69" s="24"/>
      <c r="G69" s="24"/>
      <c r="H69" s="24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3"/>
      <c r="B70" s="24"/>
      <c r="C70" s="24"/>
      <c r="D70" s="24"/>
      <c r="E70" s="24"/>
      <c r="F70" s="24"/>
      <c r="G70" s="24"/>
      <c r="H70" s="24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3"/>
      <c r="B71" s="24"/>
      <c r="C71" s="24"/>
      <c r="D71" s="24"/>
      <c r="E71" s="24"/>
      <c r="F71" s="24"/>
      <c r="G71" s="24"/>
      <c r="H71" s="24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3"/>
      <c r="B72" s="24"/>
      <c r="C72" s="24"/>
      <c r="D72" s="24"/>
      <c r="E72" s="24"/>
      <c r="F72" s="24"/>
      <c r="G72" s="24"/>
      <c r="H72" s="24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3"/>
      <c r="B73" s="24"/>
      <c r="C73" s="24"/>
      <c r="D73" s="24"/>
      <c r="E73" s="24"/>
      <c r="F73" s="24"/>
      <c r="G73" s="24"/>
      <c r="H73" s="24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3"/>
      <c r="B74" s="24"/>
      <c r="C74" s="24"/>
      <c r="D74" s="24"/>
      <c r="E74" s="24"/>
      <c r="F74" s="24"/>
      <c r="G74" s="24"/>
      <c r="H74" s="24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3"/>
      <c r="B75" s="24"/>
      <c r="C75" s="24"/>
      <c r="D75" s="24"/>
      <c r="E75" s="24"/>
      <c r="F75" s="24"/>
      <c r="G75" s="24"/>
      <c r="H75" s="24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3"/>
      <c r="B76" s="24"/>
      <c r="C76" s="24"/>
      <c r="D76" s="24"/>
      <c r="E76" s="24"/>
      <c r="F76" s="24"/>
      <c r="G76" s="24"/>
      <c r="H76" s="24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3"/>
      <c r="B77" s="24"/>
      <c r="C77" s="24"/>
      <c r="D77" s="24"/>
      <c r="E77" s="24"/>
      <c r="F77" s="24"/>
      <c r="G77" s="24"/>
      <c r="H77" s="24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3"/>
      <c r="B78" s="24"/>
      <c r="C78" s="24"/>
      <c r="D78" s="24"/>
      <c r="E78" s="24"/>
      <c r="F78" s="24"/>
      <c r="G78" s="24"/>
      <c r="H78" s="24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3"/>
      <c r="B79" s="24"/>
      <c r="C79" s="24"/>
      <c r="D79" s="24"/>
      <c r="E79" s="24"/>
      <c r="F79" s="24"/>
      <c r="G79" s="24"/>
      <c r="H79" s="24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3"/>
      <c r="B80" s="24"/>
      <c r="C80" s="24"/>
      <c r="D80" s="24"/>
      <c r="E80" s="24"/>
      <c r="F80" s="24"/>
      <c r="G80" s="24"/>
      <c r="H80" s="24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3"/>
      <c r="B81" s="24"/>
      <c r="C81" s="24"/>
      <c r="D81" s="24"/>
      <c r="E81" s="24"/>
      <c r="F81" s="24"/>
      <c r="G81" s="24"/>
      <c r="H81" s="24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3"/>
      <c r="B82" s="24"/>
      <c r="C82" s="24"/>
      <c r="D82" s="24"/>
      <c r="E82" s="24"/>
      <c r="F82" s="24"/>
      <c r="G82" s="24"/>
      <c r="H82" s="24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3"/>
      <c r="B83" s="24"/>
      <c r="C83" s="24"/>
      <c r="D83" s="24"/>
      <c r="E83" s="24"/>
      <c r="F83" s="24"/>
      <c r="G83" s="24"/>
      <c r="H83" s="24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3"/>
      <c r="B84" s="24"/>
      <c r="C84" s="24"/>
      <c r="D84" s="24"/>
      <c r="E84" s="24"/>
      <c r="F84" s="24"/>
      <c r="G84" s="24"/>
      <c r="H84" s="24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3"/>
      <c r="B85" s="24"/>
      <c r="C85" s="24"/>
      <c r="D85" s="24"/>
      <c r="E85" s="24"/>
      <c r="F85" s="24"/>
      <c r="G85" s="24"/>
      <c r="H85" s="24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3"/>
      <c r="B86" s="24"/>
      <c r="C86" s="24"/>
      <c r="D86" s="24"/>
      <c r="E86" s="24"/>
      <c r="F86" s="24"/>
      <c r="G86" s="24"/>
      <c r="H86" s="24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3"/>
      <c r="B87" s="24"/>
      <c r="C87" s="24"/>
      <c r="D87" s="24"/>
      <c r="E87" s="24"/>
      <c r="F87" s="24"/>
      <c r="G87" s="24"/>
      <c r="H87" s="24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3"/>
      <c r="B88" s="24"/>
      <c r="C88" s="24"/>
      <c r="D88" s="24"/>
      <c r="E88" s="24"/>
      <c r="F88" s="24"/>
      <c r="G88" s="24"/>
      <c r="H88" s="24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3"/>
      <c r="B89" s="24"/>
      <c r="C89" s="24"/>
      <c r="D89" s="24"/>
      <c r="E89" s="24"/>
      <c r="F89" s="24"/>
      <c r="G89" s="24"/>
      <c r="H89" s="24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3"/>
      <c r="B90" s="24"/>
      <c r="C90" s="24"/>
      <c r="D90" s="24"/>
      <c r="E90" s="24"/>
      <c r="F90" s="24"/>
      <c r="G90" s="24"/>
      <c r="H90" s="24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3"/>
      <c r="B91" s="24"/>
      <c r="C91" s="24"/>
      <c r="D91" s="24"/>
      <c r="E91" s="24"/>
      <c r="F91" s="24"/>
      <c r="G91" s="24"/>
      <c r="H91" s="24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3"/>
      <c r="B92" s="24"/>
      <c r="C92" s="24"/>
      <c r="D92" s="24"/>
      <c r="E92" s="24"/>
      <c r="F92" s="24"/>
      <c r="G92" s="24"/>
      <c r="H92" s="24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3"/>
      <c r="B93" s="24"/>
      <c r="C93" s="24"/>
      <c r="D93" s="24"/>
      <c r="E93" s="24"/>
      <c r="F93" s="24"/>
      <c r="G93" s="24"/>
      <c r="H93" s="24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3"/>
      <c r="B94" s="24"/>
      <c r="C94" s="24"/>
      <c r="D94" s="24"/>
      <c r="E94" s="24"/>
      <c r="F94" s="24"/>
      <c r="G94" s="24"/>
      <c r="H94" s="24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3"/>
      <c r="B95" s="24"/>
      <c r="C95" s="24"/>
      <c r="D95" s="24"/>
      <c r="E95" s="24"/>
      <c r="F95" s="24"/>
      <c r="G95" s="24"/>
      <c r="H95" s="24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3"/>
      <c r="B96" s="24"/>
      <c r="C96" s="24"/>
      <c r="D96" s="24"/>
      <c r="E96" s="24"/>
      <c r="F96" s="24"/>
      <c r="G96" s="24"/>
      <c r="H96" s="24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3"/>
      <c r="B97" s="24"/>
      <c r="C97" s="24"/>
      <c r="D97" s="24"/>
      <c r="E97" s="24"/>
      <c r="F97" s="24"/>
      <c r="G97" s="24"/>
      <c r="H97" s="24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3"/>
      <c r="B98" s="24"/>
      <c r="C98" s="24"/>
      <c r="D98" s="24"/>
      <c r="E98" s="24"/>
      <c r="F98" s="24"/>
      <c r="G98" s="24"/>
      <c r="H98" s="24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3"/>
      <c r="B99" s="24"/>
      <c r="C99" s="24"/>
      <c r="D99" s="24"/>
      <c r="E99" s="24"/>
      <c r="F99" s="24"/>
      <c r="G99" s="24"/>
      <c r="H99" s="24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3"/>
      <c r="B100" s="24"/>
      <c r="C100" s="24"/>
      <c r="D100" s="24"/>
      <c r="E100" s="24"/>
      <c r="F100" s="24"/>
      <c r="G100" s="24"/>
      <c r="H100" s="24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3"/>
      <c r="B101" s="24"/>
      <c r="C101" s="24"/>
      <c r="D101" s="24"/>
      <c r="E101" s="24"/>
      <c r="F101" s="24"/>
      <c r="G101" s="24"/>
      <c r="H101" s="24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3"/>
      <c r="B102" s="24"/>
      <c r="C102" s="24"/>
      <c r="D102" s="24"/>
      <c r="E102" s="24"/>
      <c r="F102" s="24"/>
      <c r="G102" s="24"/>
      <c r="H102" s="24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3"/>
      <c r="B103" s="24"/>
      <c r="C103" s="24"/>
      <c r="D103" s="24"/>
      <c r="E103" s="24"/>
      <c r="F103" s="24"/>
      <c r="G103" s="24"/>
      <c r="H103" s="24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3"/>
      <c r="B104" s="24"/>
      <c r="C104" s="24"/>
      <c r="D104" s="24"/>
      <c r="E104" s="24"/>
      <c r="F104" s="24"/>
      <c r="G104" s="24"/>
      <c r="H104" s="24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3"/>
      <c r="B105" s="24"/>
      <c r="C105" s="24"/>
      <c r="D105" s="24"/>
      <c r="E105" s="24"/>
      <c r="F105" s="24"/>
      <c r="G105" s="24"/>
      <c r="H105" s="24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3"/>
      <c r="B106" s="24"/>
      <c r="C106" s="24"/>
      <c r="D106" s="24"/>
      <c r="E106" s="24"/>
      <c r="F106" s="24"/>
      <c r="G106" s="24"/>
      <c r="H106" s="24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3"/>
      <c r="B107" s="24"/>
      <c r="C107" s="24"/>
      <c r="D107" s="24"/>
      <c r="E107" s="24"/>
      <c r="F107" s="24"/>
      <c r="G107" s="24"/>
      <c r="H107" s="24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3"/>
      <c r="B108" s="24"/>
      <c r="C108" s="24"/>
      <c r="D108" s="24"/>
      <c r="E108" s="24"/>
      <c r="F108" s="24"/>
      <c r="G108" s="24"/>
      <c r="H108" s="24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3"/>
      <c r="B109" s="24"/>
      <c r="C109" s="24"/>
      <c r="D109" s="24"/>
      <c r="E109" s="24"/>
      <c r="F109" s="24"/>
      <c r="G109" s="24"/>
      <c r="H109" s="24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3"/>
      <c r="B110" s="24"/>
      <c r="C110" s="24"/>
      <c r="D110" s="24"/>
      <c r="E110" s="24"/>
      <c r="F110" s="24"/>
      <c r="G110" s="24"/>
      <c r="H110" s="24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3"/>
      <c r="B111" s="24"/>
      <c r="C111" s="24"/>
      <c r="D111" s="24"/>
      <c r="E111" s="24"/>
      <c r="F111" s="24"/>
      <c r="G111" s="24"/>
      <c r="H111" s="24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3"/>
      <c r="B112" s="24"/>
      <c r="C112" s="24"/>
      <c r="D112" s="24"/>
      <c r="E112" s="24"/>
      <c r="F112" s="24"/>
      <c r="G112" s="24"/>
      <c r="H112" s="24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3"/>
      <c r="B113" s="24"/>
      <c r="C113" s="24"/>
      <c r="D113" s="24"/>
      <c r="E113" s="24"/>
      <c r="F113" s="24"/>
      <c r="G113" s="24"/>
      <c r="H113" s="24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3"/>
      <c r="B114" s="24"/>
      <c r="C114" s="24"/>
      <c r="D114" s="24"/>
      <c r="E114" s="24"/>
      <c r="F114" s="24"/>
      <c r="G114" s="24"/>
      <c r="H114" s="24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3"/>
      <c r="B115" s="24"/>
      <c r="C115" s="24"/>
      <c r="D115" s="24"/>
      <c r="E115" s="24"/>
      <c r="F115" s="24"/>
      <c r="G115" s="24"/>
      <c r="H115" s="24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3"/>
      <c r="B116" s="24"/>
      <c r="C116" s="24"/>
      <c r="D116" s="24"/>
      <c r="E116" s="24"/>
      <c r="F116" s="24"/>
      <c r="G116" s="24"/>
      <c r="H116" s="24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3"/>
      <c r="B117" s="24"/>
      <c r="C117" s="24"/>
      <c r="D117" s="24"/>
      <c r="E117" s="24"/>
      <c r="F117" s="24"/>
      <c r="G117" s="24"/>
      <c r="H117" s="24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3"/>
      <c r="B118" s="24"/>
      <c r="C118" s="24"/>
      <c r="D118" s="24"/>
      <c r="E118" s="24"/>
      <c r="F118" s="24"/>
      <c r="G118" s="24"/>
      <c r="H118" s="24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3"/>
      <c r="B119" s="24"/>
      <c r="C119" s="24"/>
      <c r="D119" s="24"/>
      <c r="E119" s="24"/>
      <c r="F119" s="24"/>
      <c r="G119" s="24"/>
      <c r="H119" s="24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3"/>
      <c r="B120" s="24"/>
      <c r="C120" s="24"/>
      <c r="D120" s="24"/>
      <c r="E120" s="24"/>
      <c r="F120" s="24"/>
      <c r="G120" s="24"/>
      <c r="H120" s="24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3"/>
      <c r="B121" s="24"/>
      <c r="C121" s="24"/>
      <c r="D121" s="24"/>
      <c r="E121" s="24"/>
      <c r="F121" s="24"/>
      <c r="G121" s="24"/>
      <c r="H121" s="24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3"/>
      <c r="B122" s="24"/>
      <c r="C122" s="24"/>
      <c r="D122" s="24"/>
      <c r="E122" s="24"/>
      <c r="F122" s="24"/>
      <c r="G122" s="24"/>
      <c r="H122" s="24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3"/>
      <c r="B123" s="24"/>
      <c r="C123" s="24"/>
      <c r="D123" s="24"/>
      <c r="E123" s="24"/>
      <c r="F123" s="24"/>
      <c r="G123" s="24"/>
      <c r="H123" s="24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3"/>
      <c r="B124" s="24"/>
      <c r="C124" s="24"/>
      <c r="D124" s="24"/>
      <c r="E124" s="24"/>
      <c r="F124" s="24"/>
      <c r="G124" s="24"/>
      <c r="H124" s="24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3"/>
      <c r="B125" s="24"/>
      <c r="C125" s="24"/>
      <c r="D125" s="24"/>
      <c r="E125" s="24"/>
      <c r="F125" s="24"/>
      <c r="G125" s="24"/>
      <c r="H125" s="24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3"/>
      <c r="B126" s="24"/>
      <c r="C126" s="24"/>
      <c r="D126" s="24"/>
      <c r="E126" s="24"/>
      <c r="F126" s="24"/>
      <c r="G126" s="24"/>
      <c r="H126" s="24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3"/>
      <c r="B127" s="24"/>
      <c r="C127" s="24"/>
      <c r="D127" s="24"/>
      <c r="E127" s="24"/>
      <c r="F127" s="24"/>
      <c r="G127" s="24"/>
      <c r="H127" s="24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3"/>
      <c r="B128" s="24"/>
      <c r="C128" s="24"/>
      <c r="D128" s="24"/>
      <c r="E128" s="24"/>
      <c r="F128" s="24"/>
      <c r="G128" s="24"/>
      <c r="H128" s="24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3"/>
      <c r="B129" s="24"/>
      <c r="C129" s="24"/>
      <c r="D129" s="24"/>
      <c r="E129" s="24"/>
      <c r="F129" s="24"/>
      <c r="G129" s="24"/>
      <c r="H129" s="24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3"/>
      <c r="B130" s="24"/>
      <c r="C130" s="24"/>
      <c r="D130" s="24"/>
      <c r="E130" s="24"/>
      <c r="F130" s="24"/>
      <c r="G130" s="24"/>
      <c r="H130" s="24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3"/>
      <c r="B131" s="24"/>
      <c r="C131" s="24"/>
      <c r="D131" s="24"/>
      <c r="E131" s="24"/>
      <c r="F131" s="24"/>
      <c r="G131" s="24"/>
      <c r="H131" s="24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3"/>
      <c r="B132" s="24"/>
      <c r="C132" s="24"/>
      <c r="D132" s="24"/>
      <c r="E132" s="24"/>
      <c r="F132" s="24"/>
      <c r="G132" s="24"/>
      <c r="H132" s="24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3"/>
      <c r="B133" s="24"/>
      <c r="C133" s="24"/>
      <c r="D133" s="24"/>
      <c r="E133" s="24"/>
      <c r="F133" s="24"/>
      <c r="G133" s="24"/>
      <c r="H133" s="24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3"/>
      <c r="B134" s="24"/>
      <c r="C134" s="24"/>
      <c r="D134" s="24"/>
      <c r="E134" s="24"/>
      <c r="F134" s="24"/>
      <c r="G134" s="24"/>
      <c r="H134" s="24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3"/>
      <c r="B135" s="24"/>
      <c r="C135" s="24"/>
      <c r="D135" s="24"/>
      <c r="E135" s="24"/>
      <c r="F135" s="24"/>
      <c r="G135" s="24"/>
      <c r="H135" s="24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3"/>
      <c r="B136" s="24"/>
      <c r="C136" s="24"/>
      <c r="D136" s="24"/>
      <c r="E136" s="24"/>
      <c r="F136" s="24"/>
      <c r="G136" s="24"/>
      <c r="H136" s="24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3"/>
      <c r="B137" s="24"/>
      <c r="C137" s="24"/>
      <c r="D137" s="24"/>
      <c r="E137" s="24"/>
      <c r="F137" s="24"/>
      <c r="G137" s="24"/>
      <c r="H137" s="24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3"/>
      <c r="B138" s="24"/>
      <c r="C138" s="24"/>
      <c r="D138" s="24"/>
      <c r="E138" s="24"/>
      <c r="F138" s="24"/>
      <c r="G138" s="24"/>
      <c r="H138" s="24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3"/>
      <c r="B139" s="24"/>
      <c r="C139" s="24"/>
      <c r="D139" s="24"/>
      <c r="E139" s="24"/>
      <c r="F139" s="24"/>
      <c r="G139" s="24"/>
      <c r="H139" s="24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3"/>
      <c r="B140" s="24"/>
      <c r="C140" s="24"/>
      <c r="D140" s="24"/>
      <c r="E140" s="24"/>
      <c r="F140" s="24"/>
      <c r="G140" s="24"/>
      <c r="H140" s="24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3"/>
      <c r="B141" s="24"/>
      <c r="C141" s="24"/>
      <c r="D141" s="24"/>
      <c r="E141" s="24"/>
      <c r="F141" s="24"/>
      <c r="G141" s="24"/>
      <c r="H141" s="24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3"/>
      <c r="B142" s="24"/>
      <c r="C142" s="24"/>
      <c r="D142" s="24"/>
      <c r="E142" s="24"/>
      <c r="F142" s="24"/>
      <c r="G142" s="24"/>
      <c r="H142" s="24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3"/>
      <c r="B143" s="24"/>
      <c r="C143" s="24"/>
      <c r="D143" s="24"/>
      <c r="E143" s="24"/>
      <c r="F143" s="24"/>
      <c r="G143" s="24"/>
      <c r="H143" s="24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3"/>
      <c r="B144" s="24"/>
      <c r="C144" s="24"/>
      <c r="D144" s="24"/>
      <c r="E144" s="24"/>
      <c r="F144" s="24"/>
      <c r="G144" s="24"/>
      <c r="H144" s="24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3"/>
      <c r="B145" s="24"/>
      <c r="C145" s="24"/>
      <c r="D145" s="24"/>
      <c r="E145" s="24"/>
      <c r="F145" s="24"/>
      <c r="G145" s="24"/>
      <c r="H145" s="24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3"/>
      <c r="B146" s="24"/>
      <c r="C146" s="24"/>
      <c r="D146" s="24"/>
      <c r="E146" s="24"/>
      <c r="F146" s="24"/>
      <c r="G146" s="24"/>
      <c r="H146" s="24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3"/>
      <c r="B147" s="24"/>
      <c r="C147" s="24"/>
      <c r="D147" s="24"/>
      <c r="E147" s="24"/>
      <c r="F147" s="24"/>
      <c r="G147" s="24"/>
      <c r="H147" s="24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3"/>
      <c r="B148" s="24"/>
      <c r="C148" s="24"/>
      <c r="D148" s="24"/>
      <c r="E148" s="24"/>
      <c r="F148" s="24"/>
      <c r="G148" s="24"/>
      <c r="H148" s="24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3"/>
      <c r="B149" s="24"/>
      <c r="C149" s="24"/>
      <c r="D149" s="24"/>
      <c r="E149" s="24"/>
      <c r="F149" s="24"/>
      <c r="G149" s="24"/>
      <c r="H149" s="24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3"/>
      <c r="B150" s="24"/>
      <c r="C150" s="24"/>
      <c r="D150" s="24"/>
      <c r="E150" s="24"/>
      <c r="F150" s="24"/>
      <c r="G150" s="24"/>
      <c r="H150" s="24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3"/>
      <c r="B151" s="24"/>
      <c r="C151" s="24"/>
      <c r="D151" s="24"/>
      <c r="E151" s="24"/>
      <c r="F151" s="24"/>
      <c r="G151" s="24"/>
      <c r="H151" s="24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3"/>
      <c r="B152" s="24"/>
      <c r="C152" s="24"/>
      <c r="D152" s="24"/>
      <c r="E152" s="24"/>
      <c r="F152" s="24"/>
      <c r="G152" s="24"/>
      <c r="H152" s="24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3"/>
      <c r="B153" s="24"/>
      <c r="C153" s="24"/>
      <c r="D153" s="24"/>
      <c r="E153" s="24"/>
      <c r="F153" s="24"/>
      <c r="G153" s="24"/>
      <c r="H153" s="24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3"/>
      <c r="B154" s="24"/>
      <c r="C154" s="24"/>
      <c r="D154" s="24"/>
      <c r="E154" s="24"/>
      <c r="F154" s="24"/>
      <c r="G154" s="24"/>
      <c r="H154" s="24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3"/>
      <c r="B155" s="24"/>
      <c r="C155" s="24"/>
      <c r="D155" s="24"/>
      <c r="E155" s="24"/>
      <c r="F155" s="24"/>
      <c r="G155" s="24"/>
      <c r="H155" s="24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3"/>
      <c r="B156" s="24"/>
      <c r="C156" s="24"/>
      <c r="D156" s="24"/>
      <c r="E156" s="24"/>
      <c r="F156" s="24"/>
      <c r="G156" s="24"/>
      <c r="H156" s="24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3"/>
      <c r="B157" s="24"/>
      <c r="C157" s="24"/>
      <c r="D157" s="24"/>
      <c r="E157" s="24"/>
      <c r="F157" s="24"/>
      <c r="G157" s="24"/>
      <c r="H157" s="24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3"/>
      <c r="B158" s="24"/>
      <c r="C158" s="24"/>
      <c r="D158" s="24"/>
      <c r="E158" s="24"/>
      <c r="F158" s="24"/>
      <c r="G158" s="24"/>
      <c r="H158" s="24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3"/>
      <c r="B159" s="24"/>
      <c r="C159" s="24"/>
      <c r="D159" s="24"/>
      <c r="E159" s="24"/>
      <c r="F159" s="24"/>
      <c r="G159" s="24"/>
      <c r="H159" s="24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3"/>
      <c r="B160" s="24"/>
      <c r="C160" s="24"/>
      <c r="D160" s="24"/>
      <c r="E160" s="24"/>
      <c r="F160" s="24"/>
      <c r="G160" s="24"/>
      <c r="H160" s="24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3"/>
      <c r="B161" s="24"/>
      <c r="C161" s="24"/>
      <c r="D161" s="24"/>
      <c r="E161" s="24"/>
      <c r="F161" s="24"/>
      <c r="G161" s="24"/>
      <c r="H161" s="24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3"/>
      <c r="B162" s="24"/>
      <c r="C162" s="24"/>
      <c r="D162" s="24"/>
      <c r="E162" s="24"/>
      <c r="F162" s="24"/>
      <c r="G162" s="24"/>
      <c r="H162" s="24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3"/>
      <c r="B163" s="24"/>
      <c r="C163" s="24"/>
      <c r="D163" s="24"/>
      <c r="E163" s="24"/>
      <c r="F163" s="24"/>
      <c r="G163" s="24"/>
      <c r="H163" s="24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3"/>
      <c r="B164" s="24"/>
      <c r="C164" s="24"/>
      <c r="D164" s="24"/>
      <c r="E164" s="24"/>
      <c r="F164" s="24"/>
      <c r="G164" s="24"/>
      <c r="H164" s="24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3"/>
      <c r="B165" s="24"/>
      <c r="C165" s="24"/>
      <c r="D165" s="24"/>
      <c r="E165" s="24"/>
      <c r="F165" s="24"/>
      <c r="G165" s="24"/>
      <c r="H165" s="24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3"/>
      <c r="B166" s="24"/>
      <c r="C166" s="24"/>
      <c r="D166" s="24"/>
      <c r="E166" s="24"/>
      <c r="F166" s="24"/>
      <c r="G166" s="24"/>
      <c r="H166" s="24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3"/>
      <c r="B167" s="24"/>
      <c r="C167" s="24"/>
      <c r="D167" s="24"/>
      <c r="E167" s="24"/>
      <c r="F167" s="24"/>
      <c r="G167" s="24"/>
      <c r="H167" s="24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3"/>
      <c r="B168" s="24"/>
      <c r="C168" s="24"/>
      <c r="D168" s="24"/>
      <c r="E168" s="24"/>
      <c r="F168" s="24"/>
      <c r="G168" s="24"/>
      <c r="H168" s="24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3"/>
      <c r="B169" s="24"/>
      <c r="C169" s="24"/>
      <c r="D169" s="24"/>
      <c r="E169" s="24"/>
      <c r="F169" s="24"/>
      <c r="G169" s="24"/>
      <c r="H169" s="24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3"/>
      <c r="B170" s="24"/>
      <c r="C170" s="24"/>
      <c r="D170" s="24"/>
      <c r="E170" s="24"/>
      <c r="F170" s="24"/>
      <c r="G170" s="24"/>
      <c r="H170" s="24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3"/>
      <c r="B171" s="24"/>
      <c r="C171" s="24"/>
      <c r="D171" s="24"/>
      <c r="E171" s="24"/>
      <c r="F171" s="24"/>
      <c r="G171" s="24"/>
      <c r="H171" s="24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3"/>
      <c r="B172" s="24"/>
      <c r="C172" s="24"/>
      <c r="D172" s="24"/>
      <c r="E172" s="24"/>
      <c r="F172" s="24"/>
      <c r="G172" s="24"/>
      <c r="H172" s="24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3"/>
      <c r="B173" s="24"/>
      <c r="C173" s="24"/>
      <c r="D173" s="24"/>
      <c r="E173" s="24"/>
      <c r="F173" s="24"/>
      <c r="G173" s="24"/>
      <c r="H173" s="24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3"/>
      <c r="B174" s="24"/>
      <c r="C174" s="24"/>
      <c r="D174" s="24"/>
      <c r="E174" s="24"/>
      <c r="F174" s="24"/>
      <c r="G174" s="24"/>
      <c r="H174" s="24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3"/>
      <c r="B175" s="24"/>
      <c r="C175" s="24"/>
      <c r="D175" s="24"/>
      <c r="E175" s="24"/>
      <c r="F175" s="24"/>
      <c r="G175" s="24"/>
      <c r="H175" s="24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3"/>
      <c r="B176" s="24"/>
      <c r="C176" s="24"/>
      <c r="D176" s="24"/>
      <c r="E176" s="24"/>
      <c r="F176" s="24"/>
      <c r="G176" s="24"/>
      <c r="H176" s="24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3"/>
      <c r="B177" s="24"/>
      <c r="C177" s="24"/>
      <c r="D177" s="24"/>
      <c r="E177" s="24"/>
      <c r="F177" s="24"/>
      <c r="G177" s="24"/>
      <c r="H177" s="24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3"/>
      <c r="B178" s="24"/>
      <c r="C178" s="24"/>
      <c r="D178" s="24"/>
      <c r="E178" s="24"/>
      <c r="F178" s="24"/>
      <c r="G178" s="24"/>
      <c r="H178" s="24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3"/>
      <c r="B179" s="24"/>
      <c r="C179" s="24"/>
      <c r="D179" s="24"/>
      <c r="E179" s="24"/>
      <c r="F179" s="24"/>
      <c r="G179" s="24"/>
      <c r="H179" s="24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3"/>
      <c r="B180" s="24"/>
      <c r="C180" s="24"/>
      <c r="D180" s="24"/>
      <c r="E180" s="24"/>
      <c r="F180" s="24"/>
      <c r="G180" s="24"/>
      <c r="H180" s="24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3"/>
      <c r="B181" s="24"/>
      <c r="C181" s="24"/>
      <c r="D181" s="24"/>
      <c r="E181" s="24"/>
      <c r="F181" s="24"/>
      <c r="G181" s="24"/>
      <c r="H181" s="24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3"/>
      <c r="B182" s="24"/>
      <c r="C182" s="24"/>
      <c r="D182" s="24"/>
      <c r="E182" s="24"/>
      <c r="F182" s="24"/>
      <c r="G182" s="24"/>
      <c r="H182" s="24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3"/>
      <c r="B183" s="24"/>
      <c r="C183" s="24"/>
      <c r="D183" s="24"/>
      <c r="E183" s="24"/>
      <c r="F183" s="24"/>
      <c r="G183" s="24"/>
      <c r="H183" s="24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3"/>
      <c r="B184" s="24"/>
      <c r="C184" s="24"/>
      <c r="D184" s="24"/>
      <c r="E184" s="24"/>
      <c r="F184" s="24"/>
      <c r="G184" s="24"/>
      <c r="H184" s="24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3"/>
      <c r="B185" s="24"/>
      <c r="C185" s="24"/>
      <c r="D185" s="24"/>
      <c r="E185" s="24"/>
      <c r="F185" s="24"/>
      <c r="G185" s="24"/>
      <c r="H185" s="24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3"/>
      <c r="B186" s="24"/>
      <c r="C186" s="24"/>
      <c r="D186" s="24"/>
      <c r="E186" s="24"/>
      <c r="F186" s="24"/>
      <c r="G186" s="24"/>
      <c r="H186" s="24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3"/>
      <c r="B187" s="24"/>
      <c r="C187" s="24"/>
      <c r="D187" s="24"/>
      <c r="E187" s="24"/>
      <c r="F187" s="24"/>
      <c r="G187" s="24"/>
      <c r="H187" s="24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3"/>
      <c r="B188" s="24"/>
      <c r="C188" s="24"/>
      <c r="D188" s="24"/>
      <c r="E188" s="24"/>
      <c r="F188" s="24"/>
      <c r="G188" s="24"/>
      <c r="H188" s="24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3"/>
      <c r="B189" s="24"/>
      <c r="C189" s="24"/>
      <c r="D189" s="24"/>
      <c r="E189" s="24"/>
      <c r="F189" s="24"/>
      <c r="G189" s="24"/>
      <c r="H189" s="24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3"/>
      <c r="B190" s="24"/>
      <c r="C190" s="24"/>
      <c r="D190" s="24"/>
      <c r="E190" s="24"/>
      <c r="F190" s="24"/>
      <c r="G190" s="24"/>
      <c r="H190" s="24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3"/>
      <c r="B191" s="24"/>
      <c r="C191" s="24"/>
      <c r="D191" s="24"/>
      <c r="E191" s="24"/>
      <c r="F191" s="24"/>
      <c r="G191" s="24"/>
      <c r="H191" s="24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3"/>
      <c r="B192" s="24"/>
      <c r="C192" s="24"/>
      <c r="D192" s="24"/>
      <c r="E192" s="24"/>
      <c r="F192" s="24"/>
      <c r="G192" s="24"/>
      <c r="H192" s="24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3"/>
      <c r="B193" s="24"/>
      <c r="C193" s="24"/>
      <c r="D193" s="24"/>
      <c r="E193" s="24"/>
      <c r="F193" s="24"/>
      <c r="G193" s="24"/>
      <c r="H193" s="24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3"/>
      <c r="B194" s="24"/>
      <c r="C194" s="24"/>
      <c r="D194" s="24"/>
      <c r="E194" s="24"/>
      <c r="F194" s="24"/>
      <c r="G194" s="24"/>
      <c r="H194" s="24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3"/>
      <c r="B195" s="24"/>
      <c r="C195" s="24"/>
      <c r="D195" s="24"/>
      <c r="E195" s="24"/>
      <c r="F195" s="24"/>
      <c r="G195" s="24"/>
      <c r="H195" s="24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3"/>
      <c r="B196" s="24"/>
      <c r="C196" s="24"/>
      <c r="D196" s="24"/>
      <c r="E196" s="24"/>
      <c r="F196" s="24"/>
      <c r="G196" s="24"/>
      <c r="H196" s="24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3"/>
      <c r="B197" s="24"/>
      <c r="C197" s="24"/>
      <c r="D197" s="24"/>
      <c r="E197" s="24"/>
      <c r="F197" s="24"/>
      <c r="G197" s="24"/>
      <c r="H197" s="24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3"/>
      <c r="B198" s="24"/>
      <c r="C198" s="24"/>
      <c r="D198" s="24"/>
      <c r="E198" s="24"/>
      <c r="F198" s="24"/>
      <c r="G198" s="24"/>
      <c r="H198" s="24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3"/>
      <c r="B199" s="24"/>
      <c r="C199" s="24"/>
      <c r="D199" s="24"/>
      <c r="E199" s="24"/>
      <c r="F199" s="24"/>
      <c r="G199" s="24"/>
      <c r="H199" s="24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3"/>
      <c r="B200" s="24"/>
      <c r="C200" s="24"/>
      <c r="D200" s="24"/>
      <c r="E200" s="24"/>
      <c r="F200" s="24"/>
      <c r="G200" s="24"/>
      <c r="H200" s="24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3"/>
      <c r="B201" s="24"/>
      <c r="C201" s="24"/>
      <c r="D201" s="24"/>
      <c r="E201" s="24"/>
      <c r="F201" s="24"/>
      <c r="G201" s="24"/>
      <c r="H201" s="24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3"/>
      <c r="B202" s="24"/>
      <c r="C202" s="24"/>
      <c r="D202" s="24"/>
      <c r="E202" s="24"/>
      <c r="F202" s="24"/>
      <c r="G202" s="24"/>
      <c r="H202" s="24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3"/>
      <c r="B203" s="24"/>
      <c r="C203" s="24"/>
      <c r="D203" s="24"/>
      <c r="E203" s="24"/>
      <c r="F203" s="24"/>
      <c r="G203" s="24"/>
      <c r="H203" s="24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3"/>
      <c r="B204" s="24"/>
      <c r="C204" s="24"/>
      <c r="D204" s="24"/>
      <c r="E204" s="24"/>
      <c r="F204" s="24"/>
      <c r="G204" s="24"/>
      <c r="H204" s="24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3"/>
      <c r="B205" s="24"/>
      <c r="C205" s="24"/>
      <c r="D205" s="24"/>
      <c r="E205" s="24"/>
      <c r="F205" s="24"/>
      <c r="G205" s="24"/>
      <c r="H205" s="24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3"/>
      <c r="B206" s="24"/>
      <c r="C206" s="24"/>
      <c r="D206" s="24"/>
      <c r="E206" s="24"/>
      <c r="F206" s="24"/>
      <c r="G206" s="24"/>
      <c r="H206" s="24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3"/>
      <c r="B207" s="24"/>
      <c r="C207" s="24"/>
      <c r="D207" s="24"/>
      <c r="E207" s="24"/>
      <c r="F207" s="24"/>
      <c r="G207" s="24"/>
      <c r="H207" s="24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3"/>
      <c r="B208" s="24"/>
      <c r="C208" s="24"/>
      <c r="D208" s="24"/>
      <c r="E208" s="24"/>
      <c r="F208" s="24"/>
      <c r="G208" s="24"/>
      <c r="H208" s="24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3"/>
      <c r="B209" s="24"/>
      <c r="C209" s="24"/>
      <c r="D209" s="24"/>
      <c r="E209" s="24"/>
      <c r="F209" s="24"/>
      <c r="G209" s="24"/>
      <c r="H209" s="24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3"/>
      <c r="B210" s="24"/>
      <c r="C210" s="24"/>
      <c r="D210" s="24"/>
      <c r="E210" s="24"/>
      <c r="F210" s="24"/>
      <c r="G210" s="24"/>
      <c r="H210" s="24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3"/>
      <c r="B211" s="24"/>
      <c r="C211" s="24"/>
      <c r="D211" s="24"/>
      <c r="E211" s="24"/>
      <c r="F211" s="24"/>
      <c r="G211" s="24"/>
      <c r="H211" s="24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3"/>
      <c r="B212" s="24"/>
      <c r="C212" s="24"/>
      <c r="D212" s="24"/>
      <c r="E212" s="24"/>
      <c r="F212" s="24"/>
      <c r="G212" s="24"/>
      <c r="H212" s="24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3"/>
      <c r="B213" s="24"/>
      <c r="C213" s="24"/>
      <c r="D213" s="24"/>
      <c r="E213" s="24"/>
      <c r="F213" s="24"/>
      <c r="G213" s="24"/>
      <c r="H213" s="24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3"/>
      <c r="B214" s="24"/>
      <c r="C214" s="24"/>
      <c r="D214" s="24"/>
      <c r="E214" s="24"/>
      <c r="F214" s="24"/>
      <c r="G214" s="24"/>
      <c r="H214" s="24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3"/>
      <c r="B215" s="24"/>
      <c r="C215" s="24"/>
      <c r="D215" s="24"/>
      <c r="E215" s="24"/>
      <c r="F215" s="24"/>
      <c r="G215" s="24"/>
      <c r="H215" s="24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3"/>
      <c r="B216" s="24"/>
      <c r="C216" s="24"/>
      <c r="D216" s="24"/>
      <c r="E216" s="24"/>
      <c r="F216" s="24"/>
      <c r="G216" s="24"/>
      <c r="H216" s="24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3"/>
      <c r="B217" s="24"/>
      <c r="C217" s="24"/>
      <c r="D217" s="24"/>
      <c r="E217" s="24"/>
      <c r="F217" s="24"/>
      <c r="G217" s="24"/>
      <c r="H217" s="24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3"/>
      <c r="B218" s="24"/>
      <c r="C218" s="24"/>
      <c r="D218" s="24"/>
      <c r="E218" s="24"/>
      <c r="F218" s="24"/>
      <c r="G218" s="24"/>
      <c r="H218" s="24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3"/>
      <c r="B219" s="24"/>
      <c r="C219" s="24"/>
      <c r="D219" s="24"/>
      <c r="E219" s="24"/>
      <c r="F219" s="24"/>
      <c r="G219" s="24"/>
      <c r="H219" s="24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3"/>
      <c r="B220" s="24"/>
      <c r="C220" s="24"/>
      <c r="D220" s="24"/>
      <c r="E220" s="24"/>
      <c r="F220" s="24"/>
      <c r="G220" s="24"/>
      <c r="H220" s="24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3"/>
      <c r="B221" s="24"/>
      <c r="C221" s="24"/>
      <c r="D221" s="24"/>
      <c r="E221" s="24"/>
      <c r="F221" s="24"/>
      <c r="G221" s="24"/>
      <c r="H221" s="24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3"/>
      <c r="B222" s="24"/>
      <c r="C222" s="24"/>
      <c r="D222" s="24"/>
      <c r="E222" s="24"/>
      <c r="F222" s="24"/>
      <c r="G222" s="24"/>
      <c r="H222" s="24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3"/>
      <c r="B223" s="24"/>
      <c r="C223" s="24"/>
      <c r="D223" s="24"/>
      <c r="E223" s="24"/>
      <c r="F223" s="24"/>
      <c r="G223" s="24"/>
      <c r="H223" s="24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3"/>
      <c r="B224" s="24"/>
      <c r="C224" s="24"/>
      <c r="D224" s="24"/>
      <c r="E224" s="24"/>
      <c r="F224" s="24"/>
      <c r="G224" s="24"/>
      <c r="H224" s="24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3"/>
      <c r="B225" s="24"/>
      <c r="C225" s="24"/>
      <c r="D225" s="24"/>
      <c r="E225" s="24"/>
      <c r="F225" s="24"/>
      <c r="G225" s="24"/>
      <c r="H225" s="24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3"/>
      <c r="B226" s="24"/>
      <c r="C226" s="24"/>
      <c r="D226" s="24"/>
      <c r="E226" s="24"/>
      <c r="F226" s="24"/>
      <c r="G226" s="24"/>
      <c r="H226" s="24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3"/>
      <c r="B227" s="24"/>
      <c r="C227" s="24"/>
      <c r="D227" s="24"/>
      <c r="E227" s="24"/>
      <c r="F227" s="24"/>
      <c r="G227" s="24"/>
      <c r="H227" s="24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3"/>
      <c r="B228" s="24"/>
      <c r="C228" s="24"/>
      <c r="D228" s="24"/>
      <c r="E228" s="24"/>
      <c r="F228" s="24"/>
      <c r="G228" s="24"/>
      <c r="H228" s="24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3"/>
      <c r="B229" s="24"/>
      <c r="C229" s="24"/>
      <c r="D229" s="24"/>
      <c r="E229" s="24"/>
      <c r="F229" s="24"/>
      <c r="G229" s="24"/>
      <c r="H229" s="24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3"/>
      <c r="B230" s="24"/>
      <c r="C230" s="24"/>
      <c r="D230" s="24"/>
      <c r="E230" s="24"/>
      <c r="F230" s="24"/>
      <c r="G230" s="24"/>
      <c r="H230" s="24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3"/>
      <c r="B231" s="24"/>
      <c r="C231" s="24"/>
      <c r="D231" s="24"/>
      <c r="E231" s="24"/>
      <c r="F231" s="24"/>
      <c r="G231" s="24"/>
      <c r="H231" s="24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3"/>
      <c r="B232" s="24"/>
      <c r="C232" s="24"/>
      <c r="D232" s="24"/>
      <c r="E232" s="24"/>
      <c r="F232" s="24"/>
      <c r="G232" s="24"/>
      <c r="H232" s="24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3"/>
      <c r="B233" s="24"/>
      <c r="C233" s="24"/>
      <c r="D233" s="24"/>
      <c r="E233" s="24"/>
      <c r="F233" s="24"/>
      <c r="G233" s="24"/>
      <c r="H233" s="24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3"/>
      <c r="B234" s="24"/>
      <c r="C234" s="24"/>
      <c r="D234" s="24"/>
      <c r="E234" s="24"/>
      <c r="F234" s="24"/>
      <c r="G234" s="24"/>
      <c r="H234" s="24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3"/>
      <c r="B235" s="24"/>
      <c r="C235" s="24"/>
      <c r="D235" s="24"/>
      <c r="E235" s="24"/>
      <c r="F235" s="24"/>
      <c r="G235" s="24"/>
      <c r="H235" s="24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3"/>
      <c r="B236" s="24"/>
      <c r="C236" s="24"/>
      <c r="D236" s="24"/>
      <c r="E236" s="24"/>
      <c r="F236" s="24"/>
      <c r="G236" s="24"/>
      <c r="H236" s="24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3"/>
      <c r="B237" s="24"/>
      <c r="C237" s="24"/>
      <c r="D237" s="24"/>
      <c r="E237" s="24"/>
      <c r="F237" s="24"/>
      <c r="G237" s="24"/>
      <c r="H237" s="24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3"/>
      <c r="B238" s="24"/>
      <c r="C238" s="24"/>
      <c r="D238" s="24"/>
      <c r="E238" s="24"/>
      <c r="F238" s="24"/>
      <c r="G238" s="24"/>
      <c r="H238" s="24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3"/>
      <c r="B239" s="24"/>
      <c r="C239" s="24"/>
      <c r="D239" s="24"/>
      <c r="E239" s="24"/>
      <c r="F239" s="24"/>
      <c r="G239" s="24"/>
      <c r="H239" s="24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3"/>
      <c r="B240" s="24"/>
      <c r="C240" s="24"/>
      <c r="D240" s="24"/>
      <c r="E240" s="24"/>
      <c r="F240" s="24"/>
      <c r="G240" s="24"/>
      <c r="H240" s="24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3"/>
      <c r="B241" s="24"/>
      <c r="C241" s="24"/>
      <c r="D241" s="24"/>
      <c r="E241" s="24"/>
      <c r="F241" s="24"/>
      <c r="G241" s="24"/>
      <c r="H241" s="24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3"/>
      <c r="B242" s="24"/>
      <c r="C242" s="24"/>
      <c r="D242" s="24"/>
      <c r="E242" s="24"/>
      <c r="F242" s="24"/>
      <c r="G242" s="24"/>
      <c r="H242" s="24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3"/>
      <c r="B243" s="24"/>
      <c r="C243" s="24"/>
      <c r="D243" s="24"/>
      <c r="E243" s="24"/>
      <c r="F243" s="24"/>
      <c r="G243" s="24"/>
      <c r="H243" s="24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3"/>
      <c r="B244" s="24"/>
      <c r="C244" s="24"/>
      <c r="D244" s="24"/>
      <c r="E244" s="24"/>
      <c r="F244" s="24"/>
      <c r="G244" s="24"/>
      <c r="H244" s="24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3"/>
      <c r="B245" s="24"/>
      <c r="C245" s="24"/>
      <c r="D245" s="24"/>
      <c r="E245" s="24"/>
      <c r="F245" s="24"/>
      <c r="G245" s="24"/>
      <c r="H245" s="24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3"/>
      <c r="B246" s="24"/>
      <c r="C246" s="24"/>
      <c r="D246" s="24"/>
      <c r="E246" s="24"/>
      <c r="F246" s="24"/>
      <c r="G246" s="24"/>
      <c r="H246" s="24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3"/>
      <c r="B247" s="24"/>
      <c r="C247" s="24"/>
      <c r="D247" s="24"/>
      <c r="E247" s="24"/>
      <c r="F247" s="24"/>
      <c r="G247" s="24"/>
      <c r="H247" s="24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3"/>
      <c r="B248" s="24"/>
      <c r="C248" s="24"/>
      <c r="D248" s="24"/>
      <c r="E248" s="24"/>
      <c r="F248" s="24"/>
      <c r="G248" s="24"/>
      <c r="H248" s="24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3"/>
      <c r="B249" s="24"/>
      <c r="C249" s="24"/>
      <c r="D249" s="24"/>
      <c r="E249" s="24"/>
      <c r="F249" s="24"/>
      <c r="G249" s="24"/>
      <c r="H249" s="24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3"/>
      <c r="B250" s="24"/>
      <c r="C250" s="24"/>
      <c r="D250" s="24"/>
      <c r="E250" s="24"/>
      <c r="F250" s="24"/>
      <c r="G250" s="24"/>
      <c r="H250" s="24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3"/>
      <c r="B251" s="24"/>
      <c r="C251" s="24"/>
      <c r="D251" s="24"/>
      <c r="E251" s="24"/>
      <c r="F251" s="24"/>
      <c r="G251" s="24"/>
      <c r="H251" s="24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3"/>
      <c r="B252" s="24"/>
      <c r="C252" s="24"/>
      <c r="D252" s="24"/>
      <c r="E252" s="24"/>
      <c r="F252" s="24"/>
      <c r="G252" s="24"/>
      <c r="H252" s="24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3"/>
      <c r="B253" s="24"/>
      <c r="C253" s="24"/>
      <c r="D253" s="24"/>
      <c r="E253" s="24"/>
      <c r="F253" s="24"/>
      <c r="G253" s="24"/>
      <c r="H253" s="24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3"/>
      <c r="B254" s="24"/>
      <c r="C254" s="24"/>
      <c r="D254" s="24"/>
      <c r="E254" s="24"/>
      <c r="F254" s="24"/>
      <c r="G254" s="24"/>
      <c r="H254" s="24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3"/>
      <c r="B255" s="24"/>
      <c r="C255" s="24"/>
      <c r="D255" s="24"/>
      <c r="E255" s="24"/>
      <c r="F255" s="24"/>
      <c r="G255" s="24"/>
      <c r="H255" s="24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3"/>
      <c r="B256" s="24"/>
      <c r="C256" s="24"/>
      <c r="D256" s="24"/>
      <c r="E256" s="24"/>
      <c r="F256" s="24"/>
      <c r="G256" s="24"/>
      <c r="H256" s="24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3"/>
      <c r="B257" s="24"/>
      <c r="C257" s="24"/>
      <c r="D257" s="24"/>
      <c r="E257" s="24"/>
      <c r="F257" s="24"/>
      <c r="G257" s="24"/>
      <c r="H257" s="24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3"/>
      <c r="B258" s="24"/>
      <c r="C258" s="24"/>
      <c r="D258" s="24"/>
      <c r="E258" s="24"/>
      <c r="F258" s="24"/>
      <c r="G258" s="24"/>
      <c r="H258" s="24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3"/>
      <c r="B259" s="24"/>
      <c r="C259" s="24"/>
      <c r="D259" s="24"/>
      <c r="E259" s="24"/>
      <c r="F259" s="24"/>
      <c r="G259" s="24"/>
      <c r="H259" s="24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3"/>
      <c r="B260" s="24"/>
      <c r="C260" s="24"/>
      <c r="D260" s="24"/>
      <c r="E260" s="24"/>
      <c r="F260" s="24"/>
      <c r="G260" s="24"/>
      <c r="H260" s="24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3"/>
      <c r="B261" s="24"/>
      <c r="C261" s="24"/>
      <c r="D261" s="24"/>
      <c r="E261" s="24"/>
      <c r="F261" s="24"/>
      <c r="G261" s="24"/>
      <c r="H261" s="24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3"/>
      <c r="B262" s="24"/>
      <c r="C262" s="24"/>
      <c r="D262" s="24"/>
      <c r="E262" s="24"/>
      <c r="F262" s="24"/>
      <c r="G262" s="24"/>
      <c r="H262" s="24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3"/>
      <c r="B263" s="24"/>
      <c r="C263" s="24"/>
      <c r="D263" s="24"/>
      <c r="E263" s="24"/>
      <c r="F263" s="24"/>
      <c r="G263" s="24"/>
      <c r="H263" s="24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3"/>
      <c r="B264" s="24"/>
      <c r="C264" s="24"/>
      <c r="D264" s="24"/>
      <c r="E264" s="24"/>
      <c r="F264" s="24"/>
      <c r="G264" s="24"/>
      <c r="H264" s="24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3"/>
      <c r="B265" s="24"/>
      <c r="C265" s="24"/>
      <c r="D265" s="24"/>
      <c r="E265" s="24"/>
      <c r="F265" s="24"/>
      <c r="G265" s="24"/>
      <c r="H265" s="24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3"/>
      <c r="B266" s="24"/>
      <c r="C266" s="24"/>
      <c r="D266" s="24"/>
      <c r="E266" s="24"/>
      <c r="F266" s="24"/>
      <c r="G266" s="24"/>
      <c r="H266" s="24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3"/>
      <c r="B267" s="24"/>
      <c r="C267" s="24"/>
      <c r="D267" s="24"/>
      <c r="E267" s="24"/>
      <c r="F267" s="24"/>
      <c r="G267" s="24"/>
      <c r="H267" s="24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3"/>
      <c r="B268" s="24"/>
      <c r="C268" s="24"/>
      <c r="D268" s="24"/>
      <c r="E268" s="24"/>
      <c r="F268" s="24"/>
      <c r="G268" s="24"/>
      <c r="H268" s="24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3"/>
      <c r="B269" s="24"/>
      <c r="C269" s="24"/>
      <c r="D269" s="24"/>
      <c r="E269" s="24"/>
      <c r="F269" s="24"/>
      <c r="G269" s="24"/>
      <c r="H269" s="24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3"/>
      <c r="B270" s="24"/>
      <c r="C270" s="24"/>
      <c r="D270" s="24"/>
      <c r="E270" s="24"/>
      <c r="F270" s="24"/>
      <c r="G270" s="24"/>
      <c r="H270" s="24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3"/>
      <c r="B271" s="24"/>
      <c r="C271" s="24"/>
      <c r="D271" s="24"/>
      <c r="E271" s="24"/>
      <c r="F271" s="24"/>
      <c r="G271" s="24"/>
      <c r="H271" s="24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3"/>
      <c r="B272" s="24"/>
      <c r="C272" s="24"/>
      <c r="D272" s="24"/>
      <c r="E272" s="24"/>
      <c r="F272" s="24"/>
      <c r="G272" s="24"/>
      <c r="H272" s="24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3"/>
      <c r="B273" s="24"/>
      <c r="C273" s="24"/>
      <c r="D273" s="24"/>
      <c r="E273" s="24"/>
      <c r="F273" s="24"/>
      <c r="G273" s="24"/>
      <c r="H273" s="24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3"/>
      <c r="B274" s="24"/>
      <c r="C274" s="24"/>
      <c r="D274" s="24"/>
      <c r="E274" s="24"/>
      <c r="F274" s="24"/>
      <c r="G274" s="24"/>
      <c r="H274" s="24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3"/>
      <c r="B275" s="24"/>
      <c r="C275" s="24"/>
      <c r="D275" s="24"/>
      <c r="E275" s="24"/>
      <c r="F275" s="24"/>
      <c r="G275" s="24"/>
      <c r="H275" s="24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3"/>
      <c r="B276" s="24"/>
      <c r="C276" s="24"/>
      <c r="D276" s="24"/>
      <c r="E276" s="24"/>
      <c r="F276" s="24"/>
      <c r="G276" s="24"/>
      <c r="H276" s="24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3"/>
      <c r="B277" s="24"/>
      <c r="C277" s="24"/>
      <c r="D277" s="24"/>
      <c r="E277" s="24"/>
      <c r="F277" s="24"/>
      <c r="G277" s="24"/>
      <c r="H277" s="24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3"/>
      <c r="B278" s="24"/>
      <c r="C278" s="24"/>
      <c r="D278" s="24"/>
      <c r="E278" s="24"/>
      <c r="F278" s="24"/>
      <c r="G278" s="24"/>
      <c r="H278" s="24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3"/>
      <c r="B279" s="24"/>
      <c r="C279" s="24"/>
      <c r="D279" s="24"/>
      <c r="E279" s="24"/>
      <c r="F279" s="24"/>
      <c r="G279" s="24"/>
      <c r="H279" s="24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3"/>
      <c r="B280" s="24"/>
      <c r="C280" s="24"/>
      <c r="D280" s="24"/>
      <c r="E280" s="24"/>
      <c r="F280" s="24"/>
      <c r="G280" s="24"/>
      <c r="H280" s="24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3"/>
      <c r="B281" s="24"/>
      <c r="C281" s="24"/>
      <c r="D281" s="24"/>
      <c r="E281" s="24"/>
      <c r="F281" s="24"/>
      <c r="G281" s="24"/>
      <c r="H281" s="24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3"/>
      <c r="B282" s="24"/>
      <c r="C282" s="24"/>
      <c r="D282" s="24"/>
      <c r="E282" s="24"/>
      <c r="F282" s="24"/>
      <c r="G282" s="24"/>
      <c r="H282" s="24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3"/>
      <c r="B283" s="24"/>
      <c r="C283" s="24"/>
      <c r="D283" s="24"/>
      <c r="E283" s="24"/>
      <c r="F283" s="24"/>
      <c r="G283" s="24"/>
      <c r="H283" s="24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3"/>
      <c r="B284" s="24"/>
      <c r="C284" s="24"/>
      <c r="D284" s="24"/>
      <c r="E284" s="24"/>
      <c r="F284" s="24"/>
      <c r="G284" s="24"/>
      <c r="H284" s="24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3"/>
      <c r="B285" s="24"/>
      <c r="C285" s="24"/>
      <c r="D285" s="24"/>
      <c r="E285" s="24"/>
      <c r="F285" s="24"/>
      <c r="G285" s="24"/>
      <c r="H285" s="24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3"/>
      <c r="B286" s="24"/>
      <c r="C286" s="24"/>
      <c r="D286" s="24"/>
      <c r="E286" s="24"/>
      <c r="F286" s="24"/>
      <c r="G286" s="24"/>
      <c r="H286" s="24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3"/>
      <c r="B287" s="24"/>
      <c r="C287" s="24"/>
      <c r="D287" s="24"/>
      <c r="E287" s="24"/>
      <c r="F287" s="24"/>
      <c r="G287" s="24"/>
      <c r="H287" s="24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3"/>
      <c r="B288" s="24"/>
      <c r="C288" s="24"/>
      <c r="D288" s="24"/>
      <c r="E288" s="24"/>
      <c r="F288" s="24"/>
      <c r="G288" s="24"/>
      <c r="H288" s="24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3"/>
      <c r="B289" s="24"/>
      <c r="C289" s="24"/>
      <c r="D289" s="24"/>
      <c r="E289" s="24"/>
      <c r="F289" s="24"/>
      <c r="G289" s="24"/>
      <c r="H289" s="24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3"/>
      <c r="B290" s="24"/>
      <c r="C290" s="24"/>
      <c r="D290" s="24"/>
      <c r="E290" s="24"/>
      <c r="F290" s="24"/>
      <c r="G290" s="24"/>
      <c r="H290" s="24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3"/>
      <c r="B291" s="24"/>
      <c r="C291" s="24"/>
      <c r="D291" s="24"/>
      <c r="E291" s="24"/>
      <c r="F291" s="24"/>
      <c r="G291" s="24"/>
      <c r="H291" s="24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3"/>
      <c r="B292" s="24"/>
      <c r="C292" s="24"/>
      <c r="D292" s="24"/>
      <c r="E292" s="24"/>
      <c r="F292" s="24"/>
      <c r="G292" s="24"/>
      <c r="H292" s="24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3"/>
      <c r="B293" s="24"/>
      <c r="C293" s="24"/>
      <c r="D293" s="24"/>
      <c r="E293" s="24"/>
      <c r="F293" s="24"/>
      <c r="G293" s="24"/>
      <c r="H293" s="24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3"/>
      <c r="B294" s="24"/>
      <c r="C294" s="24"/>
      <c r="D294" s="24"/>
      <c r="E294" s="24"/>
      <c r="F294" s="24"/>
      <c r="G294" s="24"/>
      <c r="H294" s="24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3"/>
      <c r="B295" s="24"/>
      <c r="C295" s="24"/>
      <c r="D295" s="24"/>
      <c r="E295" s="24"/>
      <c r="F295" s="24"/>
      <c r="G295" s="24"/>
      <c r="H295" s="24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3"/>
      <c r="B296" s="24"/>
      <c r="C296" s="24"/>
      <c r="D296" s="24"/>
      <c r="E296" s="24"/>
      <c r="F296" s="24"/>
      <c r="G296" s="24"/>
      <c r="H296" s="24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3"/>
      <c r="B297" s="24"/>
      <c r="C297" s="24"/>
      <c r="D297" s="24"/>
      <c r="E297" s="24"/>
      <c r="F297" s="24"/>
      <c r="G297" s="24"/>
      <c r="H297" s="24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3"/>
      <c r="B298" s="24"/>
      <c r="C298" s="24"/>
      <c r="D298" s="24"/>
      <c r="E298" s="24"/>
      <c r="F298" s="24"/>
      <c r="G298" s="24"/>
      <c r="H298" s="24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3"/>
      <c r="B299" s="24"/>
      <c r="C299" s="24"/>
      <c r="D299" s="24"/>
      <c r="E299" s="24"/>
      <c r="F299" s="24"/>
      <c r="G299" s="24"/>
      <c r="H299" s="24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3"/>
      <c r="B300" s="24"/>
      <c r="C300" s="24"/>
      <c r="D300" s="24"/>
      <c r="E300" s="24"/>
      <c r="F300" s="24"/>
      <c r="G300" s="24"/>
      <c r="H300" s="24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3"/>
      <c r="B301" s="24"/>
      <c r="C301" s="24"/>
      <c r="D301" s="24"/>
      <c r="E301" s="24"/>
      <c r="F301" s="24"/>
      <c r="G301" s="24"/>
      <c r="H301" s="24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3"/>
      <c r="B302" s="24"/>
      <c r="C302" s="24"/>
      <c r="D302" s="24"/>
      <c r="E302" s="24"/>
      <c r="F302" s="24"/>
      <c r="G302" s="24"/>
      <c r="H302" s="24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3"/>
      <c r="B303" s="24"/>
      <c r="C303" s="24"/>
      <c r="D303" s="24"/>
      <c r="E303" s="24"/>
      <c r="F303" s="24"/>
      <c r="G303" s="24"/>
      <c r="H303" s="24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3"/>
      <c r="B304" s="24"/>
      <c r="C304" s="24"/>
      <c r="D304" s="24"/>
      <c r="E304" s="24"/>
      <c r="F304" s="24"/>
      <c r="G304" s="24"/>
      <c r="H304" s="24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3"/>
      <c r="B305" s="24"/>
      <c r="C305" s="24"/>
      <c r="D305" s="24"/>
      <c r="E305" s="24"/>
      <c r="F305" s="24"/>
      <c r="G305" s="24"/>
      <c r="H305" s="24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3"/>
      <c r="B306" s="24"/>
      <c r="C306" s="24"/>
      <c r="D306" s="24"/>
      <c r="E306" s="24"/>
      <c r="F306" s="24"/>
      <c r="G306" s="24"/>
      <c r="H306" s="24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3"/>
      <c r="B307" s="24"/>
      <c r="C307" s="24"/>
      <c r="D307" s="24"/>
      <c r="E307" s="24"/>
      <c r="F307" s="24"/>
      <c r="G307" s="24"/>
      <c r="H307" s="24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3"/>
      <c r="B308" s="24"/>
      <c r="C308" s="24"/>
      <c r="D308" s="24"/>
      <c r="E308" s="24"/>
      <c r="F308" s="24"/>
      <c r="G308" s="24"/>
      <c r="H308" s="24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3"/>
      <c r="B309" s="24"/>
      <c r="C309" s="24"/>
      <c r="D309" s="24"/>
      <c r="E309" s="24"/>
      <c r="F309" s="24"/>
      <c r="G309" s="24"/>
      <c r="H309" s="24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3"/>
      <c r="B310" s="24"/>
      <c r="C310" s="24"/>
      <c r="D310" s="24"/>
      <c r="E310" s="24"/>
      <c r="F310" s="24"/>
      <c r="G310" s="24"/>
      <c r="H310" s="24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3"/>
      <c r="B311" s="24"/>
      <c r="C311" s="24"/>
      <c r="D311" s="24"/>
      <c r="E311" s="24"/>
      <c r="F311" s="24"/>
      <c r="G311" s="24"/>
      <c r="H311" s="24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3"/>
      <c r="B312" s="24"/>
      <c r="C312" s="24"/>
      <c r="D312" s="24"/>
      <c r="E312" s="24"/>
      <c r="F312" s="24"/>
      <c r="G312" s="24"/>
      <c r="H312" s="24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3"/>
      <c r="B313" s="24"/>
      <c r="C313" s="24"/>
      <c r="D313" s="24"/>
      <c r="E313" s="24"/>
      <c r="F313" s="24"/>
      <c r="G313" s="24"/>
      <c r="H313" s="24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3"/>
      <c r="B314" s="24"/>
      <c r="C314" s="24"/>
      <c r="D314" s="24"/>
      <c r="E314" s="24"/>
      <c r="F314" s="24"/>
      <c r="G314" s="24"/>
      <c r="H314" s="24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3"/>
      <c r="B315" s="24"/>
      <c r="C315" s="24"/>
      <c r="D315" s="24"/>
      <c r="E315" s="24"/>
      <c r="F315" s="24"/>
      <c r="G315" s="24"/>
      <c r="H315" s="24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3"/>
      <c r="B316" s="24"/>
      <c r="C316" s="24"/>
      <c r="D316" s="24"/>
      <c r="E316" s="24"/>
      <c r="F316" s="24"/>
      <c r="G316" s="24"/>
      <c r="H316" s="24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3"/>
      <c r="B317" s="24"/>
      <c r="C317" s="24"/>
      <c r="D317" s="24"/>
      <c r="E317" s="24"/>
      <c r="F317" s="24"/>
      <c r="G317" s="24"/>
      <c r="H317" s="24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3"/>
      <c r="B318" s="24"/>
      <c r="C318" s="24"/>
      <c r="D318" s="24"/>
      <c r="E318" s="24"/>
      <c r="F318" s="24"/>
      <c r="G318" s="24"/>
      <c r="H318" s="24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3"/>
      <c r="B319" s="24"/>
      <c r="C319" s="24"/>
      <c r="D319" s="24"/>
      <c r="E319" s="24"/>
      <c r="F319" s="24"/>
      <c r="G319" s="24"/>
      <c r="H319" s="24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3"/>
      <c r="B320" s="24"/>
      <c r="C320" s="24"/>
      <c r="D320" s="24"/>
      <c r="E320" s="24"/>
      <c r="F320" s="24"/>
      <c r="G320" s="24"/>
      <c r="H320" s="24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3"/>
      <c r="B321" s="24"/>
      <c r="C321" s="24"/>
      <c r="D321" s="24"/>
      <c r="E321" s="24"/>
      <c r="F321" s="24"/>
      <c r="G321" s="24"/>
      <c r="H321" s="24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3"/>
      <c r="B322" s="24"/>
      <c r="C322" s="24"/>
      <c r="D322" s="24"/>
      <c r="E322" s="24"/>
      <c r="F322" s="24"/>
      <c r="G322" s="24"/>
      <c r="H322" s="24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3"/>
      <c r="B323" s="24"/>
      <c r="C323" s="24"/>
      <c r="D323" s="24"/>
      <c r="E323" s="24"/>
      <c r="F323" s="24"/>
      <c r="G323" s="24"/>
      <c r="H323" s="24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3"/>
      <c r="B324" s="24"/>
      <c r="C324" s="24"/>
      <c r="D324" s="24"/>
      <c r="E324" s="24"/>
      <c r="F324" s="24"/>
      <c r="G324" s="24"/>
      <c r="H324" s="24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3"/>
      <c r="B325" s="24"/>
      <c r="C325" s="24"/>
      <c r="D325" s="24"/>
      <c r="E325" s="24"/>
      <c r="F325" s="24"/>
      <c r="G325" s="24"/>
      <c r="H325" s="24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3"/>
      <c r="B326" s="24"/>
      <c r="C326" s="24"/>
      <c r="D326" s="24"/>
      <c r="E326" s="24"/>
      <c r="F326" s="24"/>
      <c r="G326" s="24"/>
      <c r="H326" s="24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3"/>
      <c r="B327" s="24"/>
      <c r="C327" s="24"/>
      <c r="D327" s="24"/>
      <c r="E327" s="24"/>
      <c r="F327" s="24"/>
      <c r="G327" s="24"/>
      <c r="H327" s="24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3"/>
      <c r="B328" s="24"/>
      <c r="C328" s="24"/>
      <c r="D328" s="24"/>
      <c r="E328" s="24"/>
      <c r="F328" s="24"/>
      <c r="G328" s="24"/>
      <c r="H328" s="24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3"/>
      <c r="B329" s="24"/>
      <c r="C329" s="24"/>
      <c r="D329" s="24"/>
      <c r="E329" s="24"/>
      <c r="F329" s="24"/>
      <c r="G329" s="24"/>
      <c r="H329" s="24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3"/>
      <c r="B330" s="24"/>
      <c r="C330" s="24"/>
      <c r="D330" s="24"/>
      <c r="E330" s="24"/>
      <c r="F330" s="24"/>
      <c r="G330" s="24"/>
      <c r="H330" s="24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3"/>
      <c r="B331" s="24"/>
      <c r="C331" s="24"/>
      <c r="D331" s="24"/>
      <c r="E331" s="24"/>
      <c r="F331" s="24"/>
      <c r="G331" s="24"/>
      <c r="H331" s="24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3"/>
      <c r="B332" s="24"/>
      <c r="C332" s="24"/>
      <c r="D332" s="24"/>
      <c r="E332" s="24"/>
      <c r="F332" s="24"/>
      <c r="G332" s="24"/>
      <c r="H332" s="24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3"/>
      <c r="B333" s="24"/>
      <c r="C333" s="24"/>
      <c r="D333" s="24"/>
      <c r="E333" s="24"/>
      <c r="F333" s="24"/>
      <c r="G333" s="24"/>
      <c r="H333" s="24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3"/>
      <c r="B334" s="24"/>
      <c r="C334" s="24"/>
      <c r="D334" s="24"/>
      <c r="E334" s="24"/>
      <c r="F334" s="24"/>
      <c r="G334" s="24"/>
      <c r="H334" s="24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23"/>
      <c r="B335" s="24"/>
      <c r="C335" s="24"/>
      <c r="D335" s="24"/>
      <c r="E335" s="24"/>
      <c r="F335" s="24"/>
      <c r="G335" s="24"/>
      <c r="H335" s="24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3"/>
      <c r="B336" s="24"/>
      <c r="C336" s="24"/>
      <c r="D336" s="24"/>
      <c r="E336" s="24"/>
      <c r="F336" s="24"/>
      <c r="G336" s="24"/>
      <c r="H336" s="24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23"/>
      <c r="B337" s="24"/>
      <c r="C337" s="24"/>
      <c r="D337" s="24"/>
      <c r="E337" s="24"/>
      <c r="F337" s="24"/>
      <c r="G337" s="24"/>
      <c r="H337" s="24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23"/>
      <c r="B338" s="24"/>
      <c r="C338" s="24"/>
      <c r="D338" s="24"/>
      <c r="E338" s="24"/>
      <c r="F338" s="24"/>
      <c r="G338" s="24"/>
      <c r="H338" s="24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23"/>
      <c r="B339" s="24"/>
      <c r="C339" s="24"/>
      <c r="D339" s="24"/>
      <c r="E339" s="24"/>
      <c r="F339" s="24"/>
      <c r="G339" s="24"/>
      <c r="H339" s="24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23"/>
      <c r="B340" s="24"/>
      <c r="C340" s="24"/>
      <c r="D340" s="24"/>
      <c r="E340" s="24"/>
      <c r="F340" s="24"/>
      <c r="G340" s="24"/>
      <c r="H340" s="24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3"/>
      <c r="B341" s="24"/>
      <c r="C341" s="24"/>
      <c r="D341" s="24"/>
      <c r="E341" s="24"/>
      <c r="F341" s="24"/>
      <c r="G341" s="24"/>
      <c r="H341" s="24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3"/>
      <c r="B342" s="24"/>
      <c r="C342" s="24"/>
      <c r="D342" s="24"/>
      <c r="E342" s="24"/>
      <c r="F342" s="24"/>
      <c r="G342" s="24"/>
      <c r="H342" s="24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3"/>
      <c r="B343" s="24"/>
      <c r="C343" s="24"/>
      <c r="D343" s="24"/>
      <c r="E343" s="24"/>
      <c r="F343" s="24"/>
      <c r="G343" s="24"/>
      <c r="H343" s="24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23"/>
      <c r="B344" s="24"/>
      <c r="C344" s="24"/>
      <c r="D344" s="24"/>
      <c r="E344" s="24"/>
      <c r="F344" s="24"/>
      <c r="G344" s="24"/>
      <c r="H344" s="24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23"/>
      <c r="B345" s="24"/>
      <c r="C345" s="24"/>
      <c r="D345" s="24"/>
      <c r="E345" s="24"/>
      <c r="F345" s="24"/>
      <c r="G345" s="24"/>
      <c r="H345" s="24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23"/>
      <c r="B346" s="24"/>
      <c r="C346" s="24"/>
      <c r="D346" s="24"/>
      <c r="E346" s="24"/>
      <c r="F346" s="24"/>
      <c r="G346" s="24"/>
      <c r="H346" s="24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23"/>
      <c r="B347" s="24"/>
      <c r="C347" s="24"/>
      <c r="D347" s="24"/>
      <c r="E347" s="24"/>
      <c r="F347" s="24"/>
      <c r="G347" s="24"/>
      <c r="H347" s="24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23"/>
      <c r="B348" s="24"/>
      <c r="C348" s="24"/>
      <c r="D348" s="24"/>
      <c r="E348" s="24"/>
      <c r="F348" s="24"/>
      <c r="G348" s="24"/>
      <c r="H348" s="24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23"/>
      <c r="B349" s="24"/>
      <c r="C349" s="24"/>
      <c r="D349" s="24"/>
      <c r="E349" s="24"/>
      <c r="F349" s="24"/>
      <c r="G349" s="24"/>
      <c r="H349" s="24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23"/>
      <c r="B350" s="24"/>
      <c r="C350" s="24"/>
      <c r="D350" s="24"/>
      <c r="E350" s="24"/>
      <c r="F350" s="24"/>
      <c r="G350" s="24"/>
      <c r="H350" s="24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23"/>
      <c r="B351" s="24"/>
      <c r="C351" s="24"/>
      <c r="D351" s="24"/>
      <c r="E351" s="24"/>
      <c r="F351" s="24"/>
      <c r="G351" s="24"/>
      <c r="H351" s="24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23"/>
      <c r="B352" s="24"/>
      <c r="C352" s="24"/>
      <c r="D352" s="24"/>
      <c r="E352" s="24"/>
      <c r="F352" s="24"/>
      <c r="G352" s="24"/>
      <c r="H352" s="24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23"/>
      <c r="B353" s="24"/>
      <c r="C353" s="24"/>
      <c r="D353" s="24"/>
      <c r="E353" s="24"/>
      <c r="F353" s="24"/>
      <c r="G353" s="24"/>
      <c r="H353" s="24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23"/>
      <c r="B354" s="24"/>
      <c r="C354" s="24"/>
      <c r="D354" s="24"/>
      <c r="E354" s="24"/>
      <c r="F354" s="24"/>
      <c r="G354" s="24"/>
      <c r="H354" s="24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23"/>
      <c r="B355" s="24"/>
      <c r="C355" s="24"/>
      <c r="D355" s="24"/>
      <c r="E355" s="24"/>
      <c r="F355" s="24"/>
      <c r="G355" s="24"/>
      <c r="H355" s="24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23"/>
      <c r="B356" s="24"/>
      <c r="C356" s="24"/>
      <c r="D356" s="24"/>
      <c r="E356" s="24"/>
      <c r="F356" s="24"/>
      <c r="G356" s="24"/>
      <c r="H356" s="24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23"/>
      <c r="B357" s="24"/>
      <c r="C357" s="24"/>
      <c r="D357" s="24"/>
      <c r="E357" s="24"/>
      <c r="F357" s="24"/>
      <c r="G357" s="24"/>
      <c r="H357" s="24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23"/>
      <c r="B358" s="24"/>
      <c r="C358" s="24"/>
      <c r="D358" s="24"/>
      <c r="E358" s="24"/>
      <c r="F358" s="24"/>
      <c r="G358" s="24"/>
      <c r="H358" s="24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23"/>
      <c r="B359" s="24"/>
      <c r="C359" s="24"/>
      <c r="D359" s="24"/>
      <c r="E359" s="24"/>
      <c r="F359" s="24"/>
      <c r="G359" s="24"/>
      <c r="H359" s="24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23"/>
      <c r="B360" s="24"/>
      <c r="C360" s="24"/>
      <c r="D360" s="24"/>
      <c r="E360" s="24"/>
      <c r="F360" s="24"/>
      <c r="G360" s="24"/>
      <c r="H360" s="24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23"/>
      <c r="B361" s="24"/>
      <c r="C361" s="24"/>
      <c r="D361" s="24"/>
      <c r="E361" s="24"/>
      <c r="F361" s="24"/>
      <c r="G361" s="24"/>
      <c r="H361" s="24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23"/>
      <c r="B362" s="24"/>
      <c r="C362" s="24"/>
      <c r="D362" s="24"/>
      <c r="E362" s="24"/>
      <c r="F362" s="24"/>
      <c r="G362" s="24"/>
      <c r="H362" s="24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23"/>
      <c r="B363" s="24"/>
      <c r="C363" s="24"/>
      <c r="D363" s="24"/>
      <c r="E363" s="24"/>
      <c r="F363" s="24"/>
      <c r="G363" s="24"/>
      <c r="H363" s="24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23"/>
      <c r="B364" s="24"/>
      <c r="C364" s="24"/>
      <c r="D364" s="24"/>
      <c r="E364" s="24"/>
      <c r="F364" s="24"/>
      <c r="G364" s="24"/>
      <c r="H364" s="24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23"/>
      <c r="B365" s="24"/>
      <c r="C365" s="24"/>
      <c r="D365" s="24"/>
      <c r="E365" s="24"/>
      <c r="F365" s="24"/>
      <c r="G365" s="24"/>
      <c r="H365" s="24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23"/>
      <c r="B366" s="24"/>
      <c r="C366" s="24"/>
      <c r="D366" s="24"/>
      <c r="E366" s="24"/>
      <c r="F366" s="24"/>
      <c r="G366" s="24"/>
      <c r="H366" s="24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23"/>
      <c r="B367" s="24"/>
      <c r="C367" s="24"/>
      <c r="D367" s="24"/>
      <c r="E367" s="24"/>
      <c r="F367" s="24"/>
      <c r="G367" s="24"/>
      <c r="H367" s="24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23"/>
      <c r="B368" s="24"/>
      <c r="C368" s="24"/>
      <c r="D368" s="24"/>
      <c r="E368" s="24"/>
      <c r="F368" s="24"/>
      <c r="G368" s="24"/>
      <c r="H368" s="24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23"/>
      <c r="B369" s="24"/>
      <c r="C369" s="24"/>
      <c r="D369" s="24"/>
      <c r="E369" s="24"/>
      <c r="F369" s="24"/>
      <c r="G369" s="24"/>
      <c r="H369" s="24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23"/>
      <c r="B370" s="24"/>
      <c r="C370" s="24"/>
      <c r="D370" s="24"/>
      <c r="E370" s="24"/>
      <c r="F370" s="24"/>
      <c r="G370" s="24"/>
      <c r="H370" s="24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23"/>
      <c r="B371" s="24"/>
      <c r="C371" s="24"/>
      <c r="D371" s="24"/>
      <c r="E371" s="24"/>
      <c r="F371" s="24"/>
      <c r="G371" s="24"/>
      <c r="H371" s="24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23"/>
      <c r="B372" s="24"/>
      <c r="C372" s="24"/>
      <c r="D372" s="24"/>
      <c r="E372" s="24"/>
      <c r="F372" s="24"/>
      <c r="G372" s="24"/>
      <c r="H372" s="24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23"/>
      <c r="B373" s="24"/>
      <c r="C373" s="24"/>
      <c r="D373" s="24"/>
      <c r="E373" s="24"/>
      <c r="F373" s="24"/>
      <c r="G373" s="24"/>
      <c r="H373" s="24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23"/>
      <c r="B374" s="24"/>
      <c r="C374" s="24"/>
      <c r="D374" s="24"/>
      <c r="E374" s="24"/>
      <c r="F374" s="24"/>
      <c r="G374" s="24"/>
      <c r="H374" s="24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23"/>
      <c r="B375" s="24"/>
      <c r="C375" s="24"/>
      <c r="D375" s="24"/>
      <c r="E375" s="24"/>
      <c r="F375" s="24"/>
      <c r="G375" s="24"/>
      <c r="H375" s="24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23"/>
      <c r="B376" s="24"/>
      <c r="C376" s="24"/>
      <c r="D376" s="24"/>
      <c r="E376" s="24"/>
      <c r="F376" s="24"/>
      <c r="G376" s="24"/>
      <c r="H376" s="24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23"/>
      <c r="B377" s="24"/>
      <c r="C377" s="24"/>
      <c r="D377" s="24"/>
      <c r="E377" s="24"/>
      <c r="F377" s="24"/>
      <c r="G377" s="24"/>
      <c r="H377" s="24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23"/>
      <c r="B378" s="24"/>
      <c r="C378" s="24"/>
      <c r="D378" s="24"/>
      <c r="E378" s="24"/>
      <c r="F378" s="24"/>
      <c r="G378" s="24"/>
      <c r="H378" s="24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23"/>
      <c r="B379" s="24"/>
      <c r="C379" s="24"/>
      <c r="D379" s="24"/>
      <c r="E379" s="24"/>
      <c r="F379" s="24"/>
      <c r="G379" s="24"/>
      <c r="H379" s="24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23"/>
      <c r="B380" s="24"/>
      <c r="C380" s="24"/>
      <c r="D380" s="24"/>
      <c r="E380" s="24"/>
      <c r="F380" s="24"/>
      <c r="G380" s="24"/>
      <c r="H380" s="24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23"/>
      <c r="B381" s="24"/>
      <c r="C381" s="24"/>
      <c r="D381" s="24"/>
      <c r="E381" s="24"/>
      <c r="F381" s="24"/>
      <c r="G381" s="24"/>
      <c r="H381" s="24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23"/>
      <c r="B382" s="24"/>
      <c r="C382" s="24"/>
      <c r="D382" s="24"/>
      <c r="E382" s="24"/>
      <c r="F382" s="24"/>
      <c r="G382" s="24"/>
      <c r="H382" s="24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23"/>
      <c r="B383" s="24"/>
      <c r="C383" s="24"/>
      <c r="D383" s="24"/>
      <c r="E383" s="24"/>
      <c r="F383" s="24"/>
      <c r="G383" s="24"/>
      <c r="H383" s="24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23"/>
      <c r="B384" s="24"/>
      <c r="C384" s="24"/>
      <c r="D384" s="24"/>
      <c r="E384" s="24"/>
      <c r="F384" s="24"/>
      <c r="G384" s="24"/>
      <c r="H384" s="24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23"/>
      <c r="B385" s="24"/>
      <c r="C385" s="24"/>
      <c r="D385" s="24"/>
      <c r="E385" s="24"/>
      <c r="F385" s="24"/>
      <c r="G385" s="24"/>
      <c r="H385" s="24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23"/>
      <c r="B386" s="24"/>
      <c r="C386" s="24"/>
      <c r="D386" s="24"/>
      <c r="E386" s="24"/>
      <c r="F386" s="24"/>
      <c r="G386" s="24"/>
      <c r="H386" s="24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23"/>
      <c r="B387" s="24"/>
      <c r="C387" s="24"/>
      <c r="D387" s="24"/>
      <c r="E387" s="24"/>
      <c r="F387" s="24"/>
      <c r="G387" s="24"/>
      <c r="H387" s="24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23"/>
      <c r="B388" s="24"/>
      <c r="C388" s="24"/>
      <c r="D388" s="24"/>
      <c r="E388" s="24"/>
      <c r="F388" s="24"/>
      <c r="G388" s="24"/>
      <c r="H388" s="24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23"/>
      <c r="B389" s="24"/>
      <c r="C389" s="24"/>
      <c r="D389" s="24"/>
      <c r="E389" s="24"/>
      <c r="F389" s="24"/>
      <c r="G389" s="24"/>
      <c r="H389" s="24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23"/>
      <c r="B390" s="24"/>
      <c r="C390" s="24"/>
      <c r="D390" s="24"/>
      <c r="E390" s="24"/>
      <c r="F390" s="24"/>
      <c r="G390" s="24"/>
      <c r="H390" s="24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23"/>
      <c r="B391" s="24"/>
      <c r="C391" s="24"/>
      <c r="D391" s="24"/>
      <c r="E391" s="24"/>
      <c r="F391" s="24"/>
      <c r="G391" s="24"/>
      <c r="H391" s="24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23"/>
      <c r="B392" s="24"/>
      <c r="C392" s="24"/>
      <c r="D392" s="24"/>
      <c r="E392" s="24"/>
      <c r="F392" s="24"/>
      <c r="G392" s="24"/>
      <c r="H392" s="24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23"/>
      <c r="B393" s="24"/>
      <c r="C393" s="24"/>
      <c r="D393" s="24"/>
      <c r="E393" s="24"/>
      <c r="F393" s="24"/>
      <c r="G393" s="24"/>
      <c r="H393" s="24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23"/>
      <c r="B394" s="24"/>
      <c r="C394" s="24"/>
      <c r="D394" s="24"/>
      <c r="E394" s="24"/>
      <c r="F394" s="24"/>
      <c r="G394" s="24"/>
      <c r="H394" s="24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23"/>
      <c r="B395" s="24"/>
      <c r="C395" s="24"/>
      <c r="D395" s="24"/>
      <c r="E395" s="24"/>
      <c r="F395" s="24"/>
      <c r="G395" s="24"/>
      <c r="H395" s="24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23"/>
      <c r="B396" s="24"/>
      <c r="C396" s="24"/>
      <c r="D396" s="24"/>
      <c r="E396" s="24"/>
      <c r="F396" s="24"/>
      <c r="G396" s="24"/>
      <c r="H396" s="24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23"/>
      <c r="B397" s="24"/>
      <c r="C397" s="24"/>
      <c r="D397" s="24"/>
      <c r="E397" s="24"/>
      <c r="F397" s="24"/>
      <c r="G397" s="24"/>
      <c r="H397" s="24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3"/>
      <c r="B398" s="24"/>
      <c r="C398" s="24"/>
      <c r="D398" s="24"/>
      <c r="E398" s="24"/>
      <c r="F398" s="24"/>
      <c r="G398" s="24"/>
      <c r="H398" s="24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23"/>
      <c r="B399" s="24"/>
      <c r="C399" s="24"/>
      <c r="D399" s="24"/>
      <c r="E399" s="24"/>
      <c r="F399" s="24"/>
      <c r="G399" s="24"/>
      <c r="H399" s="24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3"/>
      <c r="B400" s="24"/>
      <c r="C400" s="24"/>
      <c r="D400" s="24"/>
      <c r="E400" s="24"/>
      <c r="F400" s="24"/>
      <c r="G400" s="24"/>
      <c r="H400" s="24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23"/>
      <c r="B401" s="24"/>
      <c r="C401" s="24"/>
      <c r="D401" s="24"/>
      <c r="E401" s="24"/>
      <c r="F401" s="24"/>
      <c r="G401" s="24"/>
      <c r="H401" s="24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23"/>
      <c r="B402" s="24"/>
      <c r="C402" s="24"/>
      <c r="D402" s="24"/>
      <c r="E402" s="24"/>
      <c r="F402" s="24"/>
      <c r="G402" s="24"/>
      <c r="H402" s="24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23"/>
      <c r="B403" s="24"/>
      <c r="C403" s="24"/>
      <c r="D403" s="24"/>
      <c r="E403" s="24"/>
      <c r="F403" s="24"/>
      <c r="G403" s="24"/>
      <c r="H403" s="24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23"/>
      <c r="B404" s="24"/>
      <c r="C404" s="24"/>
      <c r="D404" s="24"/>
      <c r="E404" s="24"/>
      <c r="F404" s="24"/>
      <c r="G404" s="24"/>
      <c r="H404" s="24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23"/>
      <c r="B405" s="24"/>
      <c r="C405" s="24"/>
      <c r="D405" s="24"/>
      <c r="E405" s="24"/>
      <c r="F405" s="24"/>
      <c r="G405" s="24"/>
      <c r="H405" s="24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23"/>
      <c r="B406" s="24"/>
      <c r="C406" s="24"/>
      <c r="D406" s="24"/>
      <c r="E406" s="24"/>
      <c r="F406" s="24"/>
      <c r="G406" s="24"/>
      <c r="H406" s="24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23"/>
      <c r="B407" s="24"/>
      <c r="C407" s="24"/>
      <c r="D407" s="24"/>
      <c r="E407" s="24"/>
      <c r="F407" s="24"/>
      <c r="G407" s="24"/>
      <c r="H407" s="24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23"/>
      <c r="B408" s="24"/>
      <c r="C408" s="24"/>
      <c r="D408" s="24"/>
      <c r="E408" s="24"/>
      <c r="F408" s="24"/>
      <c r="G408" s="24"/>
      <c r="H408" s="24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3"/>
      <c r="B409" s="24"/>
      <c r="C409" s="24"/>
      <c r="D409" s="24"/>
      <c r="E409" s="24"/>
      <c r="F409" s="24"/>
      <c r="G409" s="24"/>
      <c r="H409" s="24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3"/>
      <c r="B410" s="24"/>
      <c r="C410" s="24"/>
      <c r="D410" s="24"/>
      <c r="E410" s="24"/>
      <c r="F410" s="24"/>
      <c r="G410" s="24"/>
      <c r="H410" s="24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3"/>
      <c r="B411" s="24"/>
      <c r="C411" s="24"/>
      <c r="D411" s="24"/>
      <c r="E411" s="24"/>
      <c r="F411" s="24"/>
      <c r="G411" s="24"/>
      <c r="H411" s="24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23"/>
      <c r="B412" s="24"/>
      <c r="C412" s="24"/>
      <c r="D412" s="24"/>
      <c r="E412" s="24"/>
      <c r="F412" s="24"/>
      <c r="G412" s="24"/>
      <c r="H412" s="24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23"/>
      <c r="B413" s="24"/>
      <c r="C413" s="24"/>
      <c r="D413" s="24"/>
      <c r="E413" s="24"/>
      <c r="F413" s="24"/>
      <c r="G413" s="24"/>
      <c r="H413" s="24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23"/>
      <c r="B414" s="24"/>
      <c r="C414" s="24"/>
      <c r="D414" s="24"/>
      <c r="E414" s="24"/>
      <c r="F414" s="24"/>
      <c r="G414" s="24"/>
      <c r="H414" s="24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23"/>
      <c r="B415" s="24"/>
      <c r="C415" s="24"/>
      <c r="D415" s="24"/>
      <c r="E415" s="24"/>
      <c r="F415" s="24"/>
      <c r="G415" s="24"/>
      <c r="H415" s="24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23"/>
      <c r="B416" s="24"/>
      <c r="C416" s="24"/>
      <c r="D416" s="24"/>
      <c r="E416" s="24"/>
      <c r="F416" s="24"/>
      <c r="G416" s="24"/>
      <c r="H416" s="24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3"/>
      <c r="B417" s="24"/>
      <c r="C417" s="24"/>
      <c r="D417" s="24"/>
      <c r="E417" s="24"/>
      <c r="F417" s="24"/>
      <c r="G417" s="24"/>
      <c r="H417" s="24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3"/>
      <c r="B418" s="24"/>
      <c r="C418" s="24"/>
      <c r="D418" s="24"/>
      <c r="E418" s="24"/>
      <c r="F418" s="24"/>
      <c r="G418" s="24"/>
      <c r="H418" s="24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3"/>
      <c r="B419" s="24"/>
      <c r="C419" s="24"/>
      <c r="D419" s="24"/>
      <c r="E419" s="24"/>
      <c r="F419" s="24"/>
      <c r="G419" s="24"/>
      <c r="H419" s="24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3"/>
      <c r="B420" s="24"/>
      <c r="C420" s="24"/>
      <c r="D420" s="24"/>
      <c r="E420" s="24"/>
      <c r="F420" s="24"/>
      <c r="G420" s="24"/>
      <c r="H420" s="24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3"/>
      <c r="B421" s="24"/>
      <c r="C421" s="24"/>
      <c r="D421" s="24"/>
      <c r="E421" s="24"/>
      <c r="F421" s="24"/>
      <c r="G421" s="24"/>
      <c r="H421" s="24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3"/>
      <c r="B422" s="24"/>
      <c r="C422" s="24"/>
      <c r="D422" s="24"/>
      <c r="E422" s="24"/>
      <c r="F422" s="24"/>
      <c r="G422" s="24"/>
      <c r="H422" s="24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3"/>
      <c r="B423" s="24"/>
      <c r="C423" s="24"/>
      <c r="D423" s="24"/>
      <c r="E423" s="24"/>
      <c r="F423" s="24"/>
      <c r="G423" s="24"/>
      <c r="H423" s="24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3"/>
      <c r="B424" s="24"/>
      <c r="C424" s="24"/>
      <c r="D424" s="24"/>
      <c r="E424" s="24"/>
      <c r="F424" s="24"/>
      <c r="G424" s="24"/>
      <c r="H424" s="24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3"/>
      <c r="B425" s="24"/>
      <c r="C425" s="24"/>
      <c r="D425" s="24"/>
      <c r="E425" s="24"/>
      <c r="F425" s="24"/>
      <c r="G425" s="24"/>
      <c r="H425" s="24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3"/>
      <c r="B426" s="24"/>
      <c r="C426" s="24"/>
      <c r="D426" s="24"/>
      <c r="E426" s="24"/>
      <c r="F426" s="24"/>
      <c r="G426" s="24"/>
      <c r="H426" s="24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3"/>
      <c r="B427" s="24"/>
      <c r="C427" s="24"/>
      <c r="D427" s="24"/>
      <c r="E427" s="24"/>
      <c r="F427" s="24"/>
      <c r="G427" s="24"/>
      <c r="H427" s="24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3"/>
      <c r="B428" s="24"/>
      <c r="C428" s="24"/>
      <c r="D428" s="24"/>
      <c r="E428" s="24"/>
      <c r="F428" s="24"/>
      <c r="G428" s="24"/>
      <c r="H428" s="24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3"/>
      <c r="B429" s="24"/>
      <c r="C429" s="24"/>
      <c r="D429" s="24"/>
      <c r="E429" s="24"/>
      <c r="F429" s="24"/>
      <c r="G429" s="24"/>
      <c r="H429" s="24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3"/>
      <c r="B430" s="24"/>
      <c r="C430" s="24"/>
      <c r="D430" s="24"/>
      <c r="E430" s="24"/>
      <c r="F430" s="24"/>
      <c r="G430" s="24"/>
      <c r="H430" s="24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3"/>
      <c r="B431" s="24"/>
      <c r="C431" s="24"/>
      <c r="D431" s="24"/>
      <c r="E431" s="24"/>
      <c r="F431" s="24"/>
      <c r="G431" s="24"/>
      <c r="H431" s="24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3"/>
      <c r="B432" s="24"/>
      <c r="C432" s="24"/>
      <c r="D432" s="24"/>
      <c r="E432" s="24"/>
      <c r="F432" s="24"/>
      <c r="G432" s="24"/>
      <c r="H432" s="24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3"/>
      <c r="B433" s="24"/>
      <c r="C433" s="24"/>
      <c r="D433" s="24"/>
      <c r="E433" s="24"/>
      <c r="F433" s="24"/>
      <c r="G433" s="24"/>
      <c r="H433" s="24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3"/>
      <c r="B434" s="24"/>
      <c r="C434" s="24"/>
      <c r="D434" s="24"/>
      <c r="E434" s="24"/>
      <c r="F434" s="24"/>
      <c r="G434" s="24"/>
      <c r="H434" s="24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3"/>
      <c r="B435" s="24"/>
      <c r="C435" s="24"/>
      <c r="D435" s="24"/>
      <c r="E435" s="24"/>
      <c r="F435" s="24"/>
      <c r="G435" s="24"/>
      <c r="H435" s="24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3"/>
      <c r="B436" s="24"/>
      <c r="C436" s="24"/>
      <c r="D436" s="24"/>
      <c r="E436" s="24"/>
      <c r="F436" s="24"/>
      <c r="G436" s="24"/>
      <c r="H436" s="24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3"/>
      <c r="B437" s="24"/>
      <c r="C437" s="24"/>
      <c r="D437" s="24"/>
      <c r="E437" s="24"/>
      <c r="F437" s="24"/>
      <c r="G437" s="24"/>
      <c r="H437" s="24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3"/>
      <c r="B438" s="24"/>
      <c r="C438" s="24"/>
      <c r="D438" s="24"/>
      <c r="E438" s="24"/>
      <c r="F438" s="24"/>
      <c r="G438" s="24"/>
      <c r="H438" s="24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3"/>
      <c r="B439" s="24"/>
      <c r="C439" s="24"/>
      <c r="D439" s="24"/>
      <c r="E439" s="24"/>
      <c r="F439" s="24"/>
      <c r="G439" s="24"/>
      <c r="H439" s="24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3"/>
      <c r="B440" s="24"/>
      <c r="C440" s="24"/>
      <c r="D440" s="24"/>
      <c r="E440" s="24"/>
      <c r="F440" s="24"/>
      <c r="G440" s="24"/>
      <c r="H440" s="24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3"/>
      <c r="B441" s="24"/>
      <c r="C441" s="24"/>
      <c r="D441" s="24"/>
      <c r="E441" s="24"/>
      <c r="F441" s="24"/>
      <c r="G441" s="24"/>
      <c r="H441" s="24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3"/>
      <c r="B442" s="24"/>
      <c r="C442" s="24"/>
      <c r="D442" s="24"/>
      <c r="E442" s="24"/>
      <c r="F442" s="24"/>
      <c r="G442" s="24"/>
      <c r="H442" s="24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3"/>
      <c r="B443" s="24"/>
      <c r="C443" s="24"/>
      <c r="D443" s="24"/>
      <c r="E443" s="24"/>
      <c r="F443" s="24"/>
      <c r="G443" s="24"/>
      <c r="H443" s="24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3"/>
      <c r="B444" s="24"/>
      <c r="C444" s="24"/>
      <c r="D444" s="24"/>
      <c r="E444" s="24"/>
      <c r="F444" s="24"/>
      <c r="G444" s="24"/>
      <c r="H444" s="24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3"/>
      <c r="B445" s="24"/>
      <c r="C445" s="24"/>
      <c r="D445" s="24"/>
      <c r="E445" s="24"/>
      <c r="F445" s="24"/>
      <c r="G445" s="24"/>
      <c r="H445" s="24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3"/>
      <c r="B446" s="24"/>
      <c r="C446" s="24"/>
      <c r="D446" s="24"/>
      <c r="E446" s="24"/>
      <c r="F446" s="24"/>
      <c r="G446" s="24"/>
      <c r="H446" s="24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3"/>
      <c r="B447" s="24"/>
      <c r="C447" s="24"/>
      <c r="D447" s="24"/>
      <c r="E447" s="24"/>
      <c r="F447" s="24"/>
      <c r="G447" s="24"/>
      <c r="H447" s="24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3"/>
      <c r="B448" s="24"/>
      <c r="C448" s="24"/>
      <c r="D448" s="24"/>
      <c r="E448" s="24"/>
      <c r="F448" s="24"/>
      <c r="G448" s="24"/>
      <c r="H448" s="24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3"/>
      <c r="B449" s="24"/>
      <c r="C449" s="24"/>
      <c r="D449" s="24"/>
      <c r="E449" s="24"/>
      <c r="F449" s="24"/>
      <c r="G449" s="24"/>
      <c r="H449" s="24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3"/>
      <c r="B450" s="24"/>
      <c r="C450" s="24"/>
      <c r="D450" s="24"/>
      <c r="E450" s="24"/>
      <c r="F450" s="24"/>
      <c r="G450" s="24"/>
      <c r="H450" s="24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3"/>
      <c r="B451" s="24"/>
      <c r="C451" s="24"/>
      <c r="D451" s="24"/>
      <c r="E451" s="24"/>
      <c r="F451" s="24"/>
      <c r="G451" s="24"/>
      <c r="H451" s="24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3"/>
      <c r="B452" s="24"/>
      <c r="C452" s="24"/>
      <c r="D452" s="24"/>
      <c r="E452" s="24"/>
      <c r="F452" s="24"/>
      <c r="G452" s="24"/>
      <c r="H452" s="24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3"/>
      <c r="B453" s="24"/>
      <c r="C453" s="24"/>
      <c r="D453" s="24"/>
      <c r="E453" s="24"/>
      <c r="F453" s="24"/>
      <c r="G453" s="24"/>
      <c r="H453" s="24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3"/>
      <c r="B454" s="24"/>
      <c r="C454" s="24"/>
      <c r="D454" s="24"/>
      <c r="E454" s="24"/>
      <c r="F454" s="24"/>
      <c r="G454" s="24"/>
      <c r="H454" s="24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3"/>
      <c r="B455" s="24"/>
      <c r="C455" s="24"/>
      <c r="D455" s="24"/>
      <c r="E455" s="24"/>
      <c r="F455" s="24"/>
      <c r="G455" s="24"/>
      <c r="H455" s="24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3"/>
      <c r="B456" s="24"/>
      <c r="C456" s="24"/>
      <c r="D456" s="24"/>
      <c r="E456" s="24"/>
      <c r="F456" s="24"/>
      <c r="G456" s="24"/>
      <c r="H456" s="24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3"/>
      <c r="B457" s="24"/>
      <c r="C457" s="24"/>
      <c r="D457" s="24"/>
      <c r="E457" s="24"/>
      <c r="F457" s="24"/>
      <c r="G457" s="24"/>
      <c r="H457" s="24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3"/>
      <c r="B458" s="24"/>
      <c r="C458" s="24"/>
      <c r="D458" s="24"/>
      <c r="E458" s="24"/>
      <c r="F458" s="24"/>
      <c r="G458" s="24"/>
      <c r="H458" s="24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3"/>
      <c r="B459" s="24"/>
      <c r="C459" s="24"/>
      <c r="D459" s="24"/>
      <c r="E459" s="24"/>
      <c r="F459" s="24"/>
      <c r="G459" s="24"/>
      <c r="H459" s="24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3"/>
      <c r="B460" s="24"/>
      <c r="C460" s="24"/>
      <c r="D460" s="24"/>
      <c r="E460" s="24"/>
      <c r="F460" s="24"/>
      <c r="G460" s="24"/>
      <c r="H460" s="24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3"/>
      <c r="B461" s="24"/>
      <c r="C461" s="24"/>
      <c r="D461" s="24"/>
      <c r="E461" s="24"/>
      <c r="F461" s="24"/>
      <c r="G461" s="24"/>
      <c r="H461" s="24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3"/>
      <c r="B462" s="24"/>
      <c r="C462" s="24"/>
      <c r="D462" s="24"/>
      <c r="E462" s="24"/>
      <c r="F462" s="24"/>
      <c r="G462" s="24"/>
      <c r="H462" s="24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3"/>
      <c r="B463" s="24"/>
      <c r="C463" s="24"/>
      <c r="D463" s="24"/>
      <c r="E463" s="24"/>
      <c r="F463" s="24"/>
      <c r="G463" s="24"/>
      <c r="H463" s="24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3"/>
      <c r="B464" s="24"/>
      <c r="C464" s="24"/>
      <c r="D464" s="24"/>
      <c r="E464" s="24"/>
      <c r="F464" s="24"/>
      <c r="G464" s="24"/>
      <c r="H464" s="24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3"/>
      <c r="B465" s="24"/>
      <c r="C465" s="24"/>
      <c r="D465" s="24"/>
      <c r="E465" s="24"/>
      <c r="F465" s="24"/>
      <c r="G465" s="24"/>
      <c r="H465" s="24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3"/>
      <c r="B466" s="24"/>
      <c r="C466" s="24"/>
      <c r="D466" s="24"/>
      <c r="E466" s="24"/>
      <c r="F466" s="24"/>
      <c r="G466" s="24"/>
      <c r="H466" s="24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3"/>
      <c r="B467" s="24"/>
      <c r="C467" s="24"/>
      <c r="D467" s="24"/>
      <c r="E467" s="24"/>
      <c r="F467" s="24"/>
      <c r="G467" s="24"/>
      <c r="H467" s="24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3"/>
      <c r="B468" s="24"/>
      <c r="C468" s="24"/>
      <c r="D468" s="24"/>
      <c r="E468" s="24"/>
      <c r="F468" s="24"/>
      <c r="G468" s="24"/>
      <c r="H468" s="24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3"/>
      <c r="B469" s="24"/>
      <c r="C469" s="24"/>
      <c r="D469" s="24"/>
      <c r="E469" s="24"/>
      <c r="F469" s="24"/>
      <c r="G469" s="24"/>
      <c r="H469" s="24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3"/>
      <c r="B470" s="24"/>
      <c r="C470" s="24"/>
      <c r="D470" s="24"/>
      <c r="E470" s="24"/>
      <c r="F470" s="24"/>
      <c r="G470" s="24"/>
      <c r="H470" s="24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3"/>
      <c r="B471" s="24"/>
      <c r="C471" s="24"/>
      <c r="D471" s="24"/>
      <c r="E471" s="24"/>
      <c r="F471" s="24"/>
      <c r="G471" s="24"/>
      <c r="H471" s="24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3"/>
      <c r="B472" s="24"/>
      <c r="C472" s="24"/>
      <c r="D472" s="24"/>
      <c r="E472" s="24"/>
      <c r="F472" s="24"/>
      <c r="G472" s="24"/>
      <c r="H472" s="24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3"/>
      <c r="B473" s="24"/>
      <c r="C473" s="24"/>
      <c r="D473" s="24"/>
      <c r="E473" s="24"/>
      <c r="F473" s="24"/>
      <c r="G473" s="24"/>
      <c r="H473" s="24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3"/>
      <c r="B474" s="24"/>
      <c r="C474" s="24"/>
      <c r="D474" s="24"/>
      <c r="E474" s="24"/>
      <c r="F474" s="24"/>
      <c r="G474" s="24"/>
      <c r="H474" s="24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3"/>
      <c r="B475" s="24"/>
      <c r="C475" s="24"/>
      <c r="D475" s="24"/>
      <c r="E475" s="24"/>
      <c r="F475" s="24"/>
      <c r="G475" s="24"/>
      <c r="H475" s="24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3"/>
      <c r="B476" s="24"/>
      <c r="C476" s="24"/>
      <c r="D476" s="24"/>
      <c r="E476" s="24"/>
      <c r="F476" s="24"/>
      <c r="G476" s="24"/>
      <c r="H476" s="24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3"/>
      <c r="B477" s="24"/>
      <c r="C477" s="24"/>
      <c r="D477" s="24"/>
      <c r="E477" s="24"/>
      <c r="F477" s="24"/>
      <c r="G477" s="24"/>
      <c r="H477" s="24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3"/>
      <c r="B478" s="24"/>
      <c r="C478" s="24"/>
      <c r="D478" s="24"/>
      <c r="E478" s="24"/>
      <c r="F478" s="24"/>
      <c r="G478" s="24"/>
      <c r="H478" s="24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3"/>
      <c r="B479" s="24"/>
      <c r="C479" s="24"/>
      <c r="D479" s="24"/>
      <c r="E479" s="24"/>
      <c r="F479" s="24"/>
      <c r="G479" s="24"/>
      <c r="H479" s="24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3"/>
      <c r="B480" s="24"/>
      <c r="C480" s="24"/>
      <c r="D480" s="24"/>
      <c r="E480" s="24"/>
      <c r="F480" s="24"/>
      <c r="G480" s="24"/>
      <c r="H480" s="24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3"/>
      <c r="B481" s="24"/>
      <c r="C481" s="24"/>
      <c r="D481" s="24"/>
      <c r="E481" s="24"/>
      <c r="F481" s="24"/>
      <c r="G481" s="24"/>
      <c r="H481" s="24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3"/>
      <c r="B482" s="24"/>
      <c r="C482" s="24"/>
      <c r="D482" s="24"/>
      <c r="E482" s="24"/>
      <c r="F482" s="24"/>
      <c r="G482" s="24"/>
      <c r="H482" s="24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3"/>
      <c r="B483" s="24"/>
      <c r="C483" s="24"/>
      <c r="D483" s="24"/>
      <c r="E483" s="24"/>
      <c r="F483" s="24"/>
      <c r="G483" s="24"/>
      <c r="H483" s="24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3"/>
      <c r="B484" s="24"/>
      <c r="C484" s="24"/>
      <c r="D484" s="24"/>
      <c r="E484" s="24"/>
      <c r="F484" s="24"/>
      <c r="G484" s="24"/>
      <c r="H484" s="24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3"/>
      <c r="B485" s="24"/>
      <c r="C485" s="24"/>
      <c r="D485" s="24"/>
      <c r="E485" s="24"/>
      <c r="F485" s="24"/>
      <c r="G485" s="24"/>
      <c r="H485" s="24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3"/>
      <c r="B486" s="24"/>
      <c r="C486" s="24"/>
      <c r="D486" s="24"/>
      <c r="E486" s="24"/>
      <c r="F486" s="24"/>
      <c r="G486" s="24"/>
      <c r="H486" s="24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3"/>
      <c r="B487" s="24"/>
      <c r="C487" s="24"/>
      <c r="D487" s="24"/>
      <c r="E487" s="24"/>
      <c r="F487" s="24"/>
      <c r="G487" s="24"/>
      <c r="H487" s="24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3"/>
      <c r="B488" s="24"/>
      <c r="C488" s="24"/>
      <c r="D488" s="24"/>
      <c r="E488" s="24"/>
      <c r="F488" s="24"/>
      <c r="G488" s="24"/>
      <c r="H488" s="24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3"/>
      <c r="B489" s="24"/>
      <c r="C489" s="24"/>
      <c r="D489" s="24"/>
      <c r="E489" s="24"/>
      <c r="F489" s="24"/>
      <c r="G489" s="24"/>
      <c r="H489" s="24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3"/>
      <c r="B490" s="24"/>
      <c r="C490" s="24"/>
      <c r="D490" s="24"/>
      <c r="E490" s="24"/>
      <c r="F490" s="24"/>
      <c r="G490" s="24"/>
      <c r="H490" s="24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3"/>
      <c r="B491" s="24"/>
      <c r="C491" s="24"/>
      <c r="D491" s="24"/>
      <c r="E491" s="24"/>
      <c r="F491" s="24"/>
      <c r="G491" s="24"/>
      <c r="H491" s="24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3"/>
      <c r="B492" s="24"/>
      <c r="C492" s="24"/>
      <c r="D492" s="24"/>
      <c r="E492" s="24"/>
      <c r="F492" s="24"/>
      <c r="G492" s="24"/>
      <c r="H492" s="24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3"/>
      <c r="B493" s="24"/>
      <c r="C493" s="24"/>
      <c r="D493" s="24"/>
      <c r="E493" s="24"/>
      <c r="F493" s="24"/>
      <c r="G493" s="24"/>
      <c r="H493" s="24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3"/>
      <c r="B494" s="24"/>
      <c r="C494" s="24"/>
      <c r="D494" s="24"/>
      <c r="E494" s="24"/>
      <c r="F494" s="24"/>
      <c r="G494" s="24"/>
      <c r="H494" s="24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3"/>
      <c r="B495" s="24"/>
      <c r="C495" s="24"/>
      <c r="D495" s="24"/>
      <c r="E495" s="24"/>
      <c r="F495" s="24"/>
      <c r="G495" s="24"/>
      <c r="H495" s="24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3"/>
      <c r="B496" s="24"/>
      <c r="C496" s="24"/>
      <c r="D496" s="24"/>
      <c r="E496" s="24"/>
      <c r="F496" s="24"/>
      <c r="G496" s="24"/>
      <c r="H496" s="24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3"/>
      <c r="B497" s="24"/>
      <c r="C497" s="24"/>
      <c r="D497" s="24"/>
      <c r="E497" s="24"/>
      <c r="F497" s="24"/>
      <c r="G497" s="24"/>
      <c r="H497" s="24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3"/>
      <c r="B498" s="24"/>
      <c r="C498" s="24"/>
      <c r="D498" s="24"/>
      <c r="E498" s="24"/>
      <c r="F498" s="24"/>
      <c r="G498" s="24"/>
      <c r="H498" s="24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3"/>
      <c r="B499" s="24"/>
      <c r="C499" s="24"/>
      <c r="D499" s="24"/>
      <c r="E499" s="24"/>
      <c r="F499" s="24"/>
      <c r="G499" s="24"/>
      <c r="H499" s="24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3"/>
      <c r="B500" s="24"/>
      <c r="C500" s="24"/>
      <c r="D500" s="24"/>
      <c r="E500" s="24"/>
      <c r="F500" s="24"/>
      <c r="G500" s="24"/>
      <c r="H500" s="24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3"/>
      <c r="B501" s="24"/>
      <c r="C501" s="24"/>
      <c r="D501" s="24"/>
      <c r="E501" s="24"/>
      <c r="F501" s="24"/>
      <c r="G501" s="24"/>
      <c r="H501" s="24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3"/>
      <c r="B502" s="24"/>
      <c r="C502" s="24"/>
      <c r="D502" s="24"/>
      <c r="E502" s="24"/>
      <c r="F502" s="24"/>
      <c r="G502" s="24"/>
      <c r="H502" s="24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3"/>
      <c r="B503" s="24"/>
      <c r="C503" s="24"/>
      <c r="D503" s="24"/>
      <c r="E503" s="24"/>
      <c r="F503" s="24"/>
      <c r="G503" s="24"/>
      <c r="H503" s="24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3"/>
      <c r="B504" s="24"/>
      <c r="C504" s="24"/>
      <c r="D504" s="24"/>
      <c r="E504" s="24"/>
      <c r="F504" s="24"/>
      <c r="G504" s="24"/>
      <c r="H504" s="24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3"/>
      <c r="B505" s="24"/>
      <c r="C505" s="24"/>
      <c r="D505" s="24"/>
      <c r="E505" s="24"/>
      <c r="F505" s="24"/>
      <c r="G505" s="24"/>
      <c r="H505" s="24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3"/>
      <c r="B506" s="24"/>
      <c r="C506" s="24"/>
      <c r="D506" s="24"/>
      <c r="E506" s="24"/>
      <c r="F506" s="24"/>
      <c r="G506" s="24"/>
      <c r="H506" s="24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3"/>
      <c r="B507" s="24"/>
      <c r="C507" s="24"/>
      <c r="D507" s="24"/>
      <c r="E507" s="24"/>
      <c r="F507" s="24"/>
      <c r="G507" s="24"/>
      <c r="H507" s="24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3"/>
      <c r="B508" s="24"/>
      <c r="C508" s="24"/>
      <c r="D508" s="24"/>
      <c r="E508" s="24"/>
      <c r="F508" s="24"/>
      <c r="G508" s="24"/>
      <c r="H508" s="24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3"/>
      <c r="B509" s="24"/>
      <c r="C509" s="24"/>
      <c r="D509" s="24"/>
      <c r="E509" s="24"/>
      <c r="F509" s="24"/>
      <c r="G509" s="24"/>
      <c r="H509" s="24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3"/>
      <c r="B510" s="24"/>
      <c r="C510" s="24"/>
      <c r="D510" s="24"/>
      <c r="E510" s="24"/>
      <c r="F510" s="24"/>
      <c r="G510" s="24"/>
      <c r="H510" s="24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3"/>
      <c r="B511" s="24"/>
      <c r="C511" s="24"/>
      <c r="D511" s="24"/>
      <c r="E511" s="24"/>
      <c r="F511" s="24"/>
      <c r="G511" s="24"/>
      <c r="H511" s="24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3"/>
      <c r="B512" s="24"/>
      <c r="C512" s="24"/>
      <c r="D512" s="24"/>
      <c r="E512" s="24"/>
      <c r="F512" s="24"/>
      <c r="G512" s="24"/>
      <c r="H512" s="24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3"/>
      <c r="B513" s="24"/>
      <c r="C513" s="24"/>
      <c r="D513" s="24"/>
      <c r="E513" s="24"/>
      <c r="F513" s="24"/>
      <c r="G513" s="24"/>
      <c r="H513" s="24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3"/>
      <c r="B514" s="24"/>
      <c r="C514" s="24"/>
      <c r="D514" s="24"/>
      <c r="E514" s="24"/>
      <c r="F514" s="24"/>
      <c r="G514" s="24"/>
      <c r="H514" s="24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3"/>
      <c r="B515" s="24"/>
      <c r="C515" s="24"/>
      <c r="D515" s="24"/>
      <c r="E515" s="24"/>
      <c r="F515" s="24"/>
      <c r="G515" s="24"/>
      <c r="H515" s="24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3"/>
      <c r="B516" s="24"/>
      <c r="C516" s="24"/>
      <c r="D516" s="24"/>
      <c r="E516" s="24"/>
      <c r="F516" s="24"/>
      <c r="G516" s="24"/>
      <c r="H516" s="24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3"/>
      <c r="B517" s="24"/>
      <c r="C517" s="24"/>
      <c r="D517" s="24"/>
      <c r="E517" s="24"/>
      <c r="F517" s="24"/>
      <c r="G517" s="24"/>
      <c r="H517" s="24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3"/>
      <c r="B518" s="24"/>
      <c r="C518" s="24"/>
      <c r="D518" s="24"/>
      <c r="E518" s="24"/>
      <c r="F518" s="24"/>
      <c r="G518" s="24"/>
      <c r="H518" s="24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3"/>
      <c r="B519" s="24"/>
      <c r="C519" s="24"/>
      <c r="D519" s="24"/>
      <c r="E519" s="24"/>
      <c r="F519" s="24"/>
      <c r="G519" s="24"/>
      <c r="H519" s="24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3"/>
      <c r="B520" s="24"/>
      <c r="C520" s="24"/>
      <c r="D520" s="24"/>
      <c r="E520" s="24"/>
      <c r="F520" s="24"/>
      <c r="G520" s="24"/>
      <c r="H520" s="24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3"/>
      <c r="B521" s="24"/>
      <c r="C521" s="24"/>
      <c r="D521" s="24"/>
      <c r="E521" s="24"/>
      <c r="F521" s="24"/>
      <c r="G521" s="24"/>
      <c r="H521" s="24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3"/>
      <c r="B522" s="24"/>
      <c r="C522" s="24"/>
      <c r="D522" s="24"/>
      <c r="E522" s="24"/>
      <c r="F522" s="24"/>
      <c r="G522" s="24"/>
      <c r="H522" s="24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3"/>
      <c r="B523" s="24"/>
      <c r="C523" s="24"/>
      <c r="D523" s="24"/>
      <c r="E523" s="24"/>
      <c r="F523" s="24"/>
      <c r="G523" s="24"/>
      <c r="H523" s="24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3"/>
      <c r="B524" s="24"/>
      <c r="C524" s="24"/>
      <c r="D524" s="24"/>
      <c r="E524" s="24"/>
      <c r="F524" s="24"/>
      <c r="G524" s="24"/>
      <c r="H524" s="24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3"/>
      <c r="B525" s="24"/>
      <c r="C525" s="24"/>
      <c r="D525" s="24"/>
      <c r="E525" s="24"/>
      <c r="F525" s="24"/>
      <c r="G525" s="24"/>
      <c r="H525" s="24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3"/>
      <c r="B526" s="24"/>
      <c r="C526" s="24"/>
      <c r="D526" s="24"/>
      <c r="E526" s="24"/>
      <c r="F526" s="24"/>
      <c r="G526" s="24"/>
      <c r="H526" s="24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3"/>
      <c r="B527" s="24"/>
      <c r="C527" s="24"/>
      <c r="D527" s="24"/>
      <c r="E527" s="24"/>
      <c r="F527" s="24"/>
      <c r="G527" s="24"/>
      <c r="H527" s="24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3"/>
      <c r="B528" s="24"/>
      <c r="C528" s="24"/>
      <c r="D528" s="24"/>
      <c r="E528" s="24"/>
      <c r="F528" s="24"/>
      <c r="G528" s="24"/>
      <c r="H528" s="24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3"/>
      <c r="B529" s="24"/>
      <c r="C529" s="24"/>
      <c r="D529" s="24"/>
      <c r="E529" s="24"/>
      <c r="F529" s="24"/>
      <c r="G529" s="24"/>
      <c r="H529" s="24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3"/>
      <c r="B530" s="24"/>
      <c r="C530" s="24"/>
      <c r="D530" s="24"/>
      <c r="E530" s="24"/>
      <c r="F530" s="24"/>
      <c r="G530" s="24"/>
      <c r="H530" s="24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3"/>
      <c r="B531" s="24"/>
      <c r="C531" s="24"/>
      <c r="D531" s="24"/>
      <c r="E531" s="24"/>
      <c r="F531" s="24"/>
      <c r="G531" s="24"/>
      <c r="H531" s="24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3"/>
      <c r="B532" s="24"/>
      <c r="C532" s="24"/>
      <c r="D532" s="24"/>
      <c r="E532" s="24"/>
      <c r="F532" s="24"/>
      <c r="G532" s="24"/>
      <c r="H532" s="24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3"/>
      <c r="B533" s="24"/>
      <c r="C533" s="24"/>
      <c r="D533" s="24"/>
      <c r="E533" s="24"/>
      <c r="F533" s="24"/>
      <c r="G533" s="24"/>
      <c r="H533" s="24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3"/>
      <c r="B534" s="24"/>
      <c r="C534" s="24"/>
      <c r="D534" s="24"/>
      <c r="E534" s="24"/>
      <c r="F534" s="24"/>
      <c r="G534" s="24"/>
      <c r="H534" s="24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3"/>
      <c r="B535" s="24"/>
      <c r="C535" s="24"/>
      <c r="D535" s="24"/>
      <c r="E535" s="24"/>
      <c r="F535" s="24"/>
      <c r="G535" s="24"/>
      <c r="H535" s="24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3"/>
      <c r="B536" s="24"/>
      <c r="C536" s="24"/>
      <c r="D536" s="24"/>
      <c r="E536" s="24"/>
      <c r="F536" s="24"/>
      <c r="G536" s="24"/>
      <c r="H536" s="24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3"/>
      <c r="B537" s="24"/>
      <c r="C537" s="24"/>
      <c r="D537" s="24"/>
      <c r="E537" s="24"/>
      <c r="F537" s="24"/>
      <c r="G537" s="24"/>
      <c r="H537" s="24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3"/>
      <c r="B538" s="24"/>
      <c r="C538" s="24"/>
      <c r="D538" s="24"/>
      <c r="E538" s="24"/>
      <c r="F538" s="24"/>
      <c r="G538" s="24"/>
      <c r="H538" s="24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3"/>
      <c r="B539" s="24"/>
      <c r="C539" s="24"/>
      <c r="D539" s="24"/>
      <c r="E539" s="24"/>
      <c r="F539" s="24"/>
      <c r="G539" s="24"/>
      <c r="H539" s="24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3"/>
      <c r="B540" s="24"/>
      <c r="C540" s="24"/>
      <c r="D540" s="24"/>
      <c r="E540" s="24"/>
      <c r="F540" s="24"/>
      <c r="G540" s="24"/>
      <c r="H540" s="24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3"/>
      <c r="B541" s="24"/>
      <c r="C541" s="24"/>
      <c r="D541" s="24"/>
      <c r="E541" s="24"/>
      <c r="F541" s="24"/>
      <c r="G541" s="24"/>
      <c r="H541" s="24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3"/>
      <c r="B542" s="24"/>
      <c r="C542" s="24"/>
      <c r="D542" s="24"/>
      <c r="E542" s="24"/>
      <c r="F542" s="24"/>
      <c r="G542" s="24"/>
      <c r="H542" s="24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3"/>
      <c r="B543" s="24"/>
      <c r="C543" s="24"/>
      <c r="D543" s="24"/>
      <c r="E543" s="24"/>
      <c r="F543" s="24"/>
      <c r="G543" s="24"/>
      <c r="H543" s="24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3"/>
      <c r="B544" s="24"/>
      <c r="C544" s="24"/>
      <c r="D544" s="24"/>
      <c r="E544" s="24"/>
      <c r="F544" s="24"/>
      <c r="G544" s="24"/>
      <c r="H544" s="24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3"/>
      <c r="B545" s="24"/>
      <c r="C545" s="24"/>
      <c r="D545" s="24"/>
      <c r="E545" s="24"/>
      <c r="F545" s="24"/>
      <c r="G545" s="24"/>
      <c r="H545" s="24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3"/>
      <c r="B546" s="24"/>
      <c r="C546" s="24"/>
      <c r="D546" s="24"/>
      <c r="E546" s="24"/>
      <c r="F546" s="24"/>
      <c r="G546" s="24"/>
      <c r="H546" s="24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3"/>
      <c r="B547" s="24"/>
      <c r="C547" s="24"/>
      <c r="D547" s="24"/>
      <c r="E547" s="24"/>
      <c r="F547" s="24"/>
      <c r="G547" s="24"/>
      <c r="H547" s="24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3"/>
      <c r="B548" s="24"/>
      <c r="C548" s="24"/>
      <c r="D548" s="24"/>
      <c r="E548" s="24"/>
      <c r="F548" s="24"/>
      <c r="G548" s="24"/>
      <c r="H548" s="24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3"/>
      <c r="B549" s="24"/>
      <c r="C549" s="24"/>
      <c r="D549" s="24"/>
      <c r="E549" s="24"/>
      <c r="F549" s="24"/>
      <c r="G549" s="24"/>
      <c r="H549" s="24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3"/>
      <c r="B550" s="24"/>
      <c r="C550" s="24"/>
      <c r="D550" s="24"/>
      <c r="E550" s="24"/>
      <c r="F550" s="24"/>
      <c r="G550" s="24"/>
      <c r="H550" s="24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3"/>
      <c r="B551" s="24"/>
      <c r="C551" s="24"/>
      <c r="D551" s="24"/>
      <c r="E551" s="24"/>
      <c r="F551" s="24"/>
      <c r="G551" s="24"/>
      <c r="H551" s="24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3"/>
      <c r="B552" s="24"/>
      <c r="C552" s="24"/>
      <c r="D552" s="24"/>
      <c r="E552" s="24"/>
      <c r="F552" s="24"/>
      <c r="G552" s="24"/>
      <c r="H552" s="24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3"/>
      <c r="B553" s="24"/>
      <c r="C553" s="24"/>
      <c r="D553" s="24"/>
      <c r="E553" s="24"/>
      <c r="F553" s="24"/>
      <c r="G553" s="24"/>
      <c r="H553" s="24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3"/>
      <c r="B554" s="24"/>
      <c r="C554" s="24"/>
      <c r="D554" s="24"/>
      <c r="E554" s="24"/>
      <c r="F554" s="24"/>
      <c r="G554" s="24"/>
      <c r="H554" s="24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3"/>
      <c r="B555" s="24"/>
      <c r="C555" s="24"/>
      <c r="D555" s="24"/>
      <c r="E555" s="24"/>
      <c r="F555" s="24"/>
      <c r="G555" s="24"/>
      <c r="H555" s="24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3"/>
      <c r="B556" s="24"/>
      <c r="C556" s="24"/>
      <c r="D556" s="24"/>
      <c r="E556" s="24"/>
      <c r="F556" s="24"/>
      <c r="G556" s="24"/>
      <c r="H556" s="24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3"/>
      <c r="B557" s="24"/>
      <c r="C557" s="24"/>
      <c r="D557" s="24"/>
      <c r="E557" s="24"/>
      <c r="F557" s="24"/>
      <c r="G557" s="24"/>
      <c r="H557" s="24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3"/>
      <c r="B558" s="24"/>
      <c r="C558" s="24"/>
      <c r="D558" s="24"/>
      <c r="E558" s="24"/>
      <c r="F558" s="24"/>
      <c r="G558" s="24"/>
      <c r="H558" s="24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3"/>
      <c r="B559" s="24"/>
      <c r="C559" s="24"/>
      <c r="D559" s="24"/>
      <c r="E559" s="24"/>
      <c r="F559" s="24"/>
      <c r="G559" s="24"/>
      <c r="H559" s="24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3"/>
      <c r="B560" s="24"/>
      <c r="C560" s="24"/>
      <c r="D560" s="24"/>
      <c r="E560" s="24"/>
      <c r="F560" s="24"/>
      <c r="G560" s="24"/>
      <c r="H560" s="24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3"/>
      <c r="B561" s="24"/>
      <c r="C561" s="24"/>
      <c r="D561" s="24"/>
      <c r="E561" s="24"/>
      <c r="F561" s="24"/>
      <c r="G561" s="24"/>
      <c r="H561" s="24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3"/>
      <c r="B562" s="24"/>
      <c r="C562" s="24"/>
      <c r="D562" s="24"/>
      <c r="E562" s="24"/>
      <c r="F562" s="24"/>
      <c r="G562" s="24"/>
      <c r="H562" s="24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3"/>
      <c r="B563" s="24"/>
      <c r="C563" s="24"/>
      <c r="D563" s="24"/>
      <c r="E563" s="24"/>
      <c r="F563" s="24"/>
      <c r="G563" s="24"/>
      <c r="H563" s="24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3"/>
      <c r="B564" s="24"/>
      <c r="C564" s="24"/>
      <c r="D564" s="24"/>
      <c r="E564" s="24"/>
      <c r="F564" s="24"/>
      <c r="G564" s="24"/>
      <c r="H564" s="24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3"/>
      <c r="B565" s="24"/>
      <c r="C565" s="24"/>
      <c r="D565" s="24"/>
      <c r="E565" s="24"/>
      <c r="F565" s="24"/>
      <c r="G565" s="24"/>
      <c r="H565" s="24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3"/>
      <c r="B566" s="24"/>
      <c r="C566" s="24"/>
      <c r="D566" s="24"/>
      <c r="E566" s="24"/>
      <c r="F566" s="24"/>
      <c r="G566" s="24"/>
      <c r="H566" s="24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3"/>
      <c r="B567" s="24"/>
      <c r="C567" s="24"/>
      <c r="D567" s="24"/>
      <c r="E567" s="24"/>
      <c r="F567" s="24"/>
      <c r="G567" s="24"/>
      <c r="H567" s="24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3"/>
      <c r="B568" s="24"/>
      <c r="C568" s="24"/>
      <c r="D568" s="24"/>
      <c r="E568" s="24"/>
      <c r="F568" s="24"/>
      <c r="G568" s="24"/>
      <c r="H568" s="24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3"/>
      <c r="B569" s="24"/>
      <c r="C569" s="24"/>
      <c r="D569" s="24"/>
      <c r="E569" s="24"/>
      <c r="F569" s="24"/>
      <c r="G569" s="24"/>
      <c r="H569" s="24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3"/>
      <c r="B570" s="24"/>
      <c r="C570" s="24"/>
      <c r="D570" s="24"/>
      <c r="E570" s="24"/>
      <c r="F570" s="24"/>
      <c r="G570" s="24"/>
      <c r="H570" s="24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3"/>
      <c r="B571" s="24"/>
      <c r="C571" s="24"/>
      <c r="D571" s="24"/>
      <c r="E571" s="24"/>
      <c r="F571" s="24"/>
      <c r="G571" s="24"/>
      <c r="H571" s="24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3"/>
      <c r="B572" s="24"/>
      <c r="C572" s="24"/>
      <c r="D572" s="24"/>
      <c r="E572" s="24"/>
      <c r="F572" s="24"/>
      <c r="G572" s="24"/>
      <c r="H572" s="24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3"/>
      <c r="B573" s="24"/>
      <c r="C573" s="24"/>
      <c r="D573" s="24"/>
      <c r="E573" s="24"/>
      <c r="F573" s="24"/>
      <c r="G573" s="24"/>
      <c r="H573" s="24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3"/>
      <c r="B574" s="24"/>
      <c r="C574" s="24"/>
      <c r="D574" s="24"/>
      <c r="E574" s="24"/>
      <c r="F574" s="24"/>
      <c r="G574" s="24"/>
      <c r="H574" s="24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3"/>
      <c r="B575" s="24"/>
      <c r="C575" s="24"/>
      <c r="D575" s="24"/>
      <c r="E575" s="24"/>
      <c r="F575" s="24"/>
      <c r="G575" s="24"/>
      <c r="H575" s="24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3"/>
      <c r="B576" s="24"/>
      <c r="C576" s="24"/>
      <c r="D576" s="24"/>
      <c r="E576" s="24"/>
      <c r="F576" s="24"/>
      <c r="G576" s="24"/>
      <c r="H576" s="24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3"/>
      <c r="B577" s="24"/>
      <c r="C577" s="24"/>
      <c r="D577" s="24"/>
      <c r="E577" s="24"/>
      <c r="F577" s="24"/>
      <c r="G577" s="24"/>
      <c r="H577" s="24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3"/>
      <c r="B578" s="24"/>
      <c r="C578" s="24"/>
      <c r="D578" s="24"/>
      <c r="E578" s="24"/>
      <c r="F578" s="24"/>
      <c r="G578" s="24"/>
      <c r="H578" s="24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3"/>
      <c r="B579" s="24"/>
      <c r="C579" s="24"/>
      <c r="D579" s="24"/>
      <c r="E579" s="24"/>
      <c r="F579" s="24"/>
      <c r="G579" s="24"/>
      <c r="H579" s="24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3"/>
      <c r="B580" s="24"/>
      <c r="C580" s="24"/>
      <c r="D580" s="24"/>
      <c r="E580" s="24"/>
      <c r="F580" s="24"/>
      <c r="G580" s="24"/>
      <c r="H580" s="24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3"/>
      <c r="B581" s="24"/>
      <c r="C581" s="24"/>
      <c r="D581" s="24"/>
      <c r="E581" s="24"/>
      <c r="F581" s="24"/>
      <c r="G581" s="24"/>
      <c r="H581" s="24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3"/>
      <c r="B582" s="24"/>
      <c r="C582" s="24"/>
      <c r="D582" s="24"/>
      <c r="E582" s="24"/>
      <c r="F582" s="24"/>
      <c r="G582" s="24"/>
      <c r="H582" s="24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3"/>
      <c r="B583" s="24"/>
      <c r="C583" s="24"/>
      <c r="D583" s="24"/>
      <c r="E583" s="24"/>
      <c r="F583" s="24"/>
      <c r="G583" s="24"/>
      <c r="H583" s="24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3"/>
      <c r="B584" s="24"/>
      <c r="C584" s="24"/>
      <c r="D584" s="24"/>
      <c r="E584" s="24"/>
      <c r="F584" s="24"/>
      <c r="G584" s="24"/>
      <c r="H584" s="24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3"/>
      <c r="B585" s="24"/>
      <c r="C585" s="24"/>
      <c r="D585" s="24"/>
      <c r="E585" s="24"/>
      <c r="F585" s="24"/>
      <c r="G585" s="24"/>
      <c r="H585" s="24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3"/>
      <c r="B586" s="24"/>
      <c r="C586" s="24"/>
      <c r="D586" s="24"/>
      <c r="E586" s="24"/>
      <c r="F586" s="24"/>
      <c r="G586" s="24"/>
      <c r="H586" s="24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3"/>
      <c r="B587" s="24"/>
      <c r="C587" s="24"/>
      <c r="D587" s="24"/>
      <c r="E587" s="24"/>
      <c r="F587" s="24"/>
      <c r="G587" s="24"/>
      <c r="H587" s="24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3"/>
      <c r="B588" s="24"/>
      <c r="C588" s="24"/>
      <c r="D588" s="24"/>
      <c r="E588" s="24"/>
      <c r="F588" s="24"/>
      <c r="G588" s="24"/>
      <c r="H588" s="24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3"/>
      <c r="B589" s="24"/>
      <c r="C589" s="24"/>
      <c r="D589" s="24"/>
      <c r="E589" s="24"/>
      <c r="F589" s="24"/>
      <c r="G589" s="24"/>
      <c r="H589" s="24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3"/>
      <c r="B590" s="24"/>
      <c r="C590" s="24"/>
      <c r="D590" s="24"/>
      <c r="E590" s="24"/>
      <c r="F590" s="24"/>
      <c r="G590" s="24"/>
      <c r="H590" s="24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3"/>
      <c r="B591" s="24"/>
      <c r="C591" s="24"/>
      <c r="D591" s="24"/>
      <c r="E591" s="24"/>
      <c r="F591" s="24"/>
      <c r="G591" s="24"/>
      <c r="H591" s="24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3"/>
      <c r="B592" s="24"/>
      <c r="C592" s="24"/>
      <c r="D592" s="24"/>
      <c r="E592" s="24"/>
      <c r="F592" s="24"/>
      <c r="G592" s="24"/>
      <c r="H592" s="24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3"/>
      <c r="B593" s="24"/>
      <c r="C593" s="24"/>
      <c r="D593" s="24"/>
      <c r="E593" s="24"/>
      <c r="F593" s="24"/>
      <c r="G593" s="24"/>
      <c r="H593" s="24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3"/>
      <c r="B594" s="24"/>
      <c r="C594" s="24"/>
      <c r="D594" s="24"/>
      <c r="E594" s="24"/>
      <c r="F594" s="24"/>
      <c r="G594" s="24"/>
      <c r="H594" s="24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3"/>
      <c r="B595" s="24"/>
      <c r="C595" s="24"/>
      <c r="D595" s="24"/>
      <c r="E595" s="24"/>
      <c r="F595" s="24"/>
      <c r="G595" s="24"/>
      <c r="H595" s="24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3"/>
      <c r="B596" s="24"/>
      <c r="C596" s="24"/>
      <c r="D596" s="24"/>
      <c r="E596" s="24"/>
      <c r="F596" s="24"/>
      <c r="G596" s="24"/>
      <c r="H596" s="24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3"/>
      <c r="B597" s="24"/>
      <c r="C597" s="24"/>
      <c r="D597" s="24"/>
      <c r="E597" s="24"/>
      <c r="F597" s="24"/>
      <c r="G597" s="24"/>
      <c r="H597" s="24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3"/>
      <c r="B598" s="24"/>
      <c r="C598" s="24"/>
      <c r="D598" s="24"/>
      <c r="E598" s="24"/>
      <c r="F598" s="24"/>
      <c r="G598" s="24"/>
      <c r="H598" s="24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3"/>
      <c r="B599" s="24"/>
      <c r="C599" s="24"/>
      <c r="D599" s="24"/>
      <c r="E599" s="24"/>
      <c r="F599" s="24"/>
      <c r="G599" s="24"/>
      <c r="H599" s="24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3"/>
      <c r="B600" s="24"/>
      <c r="C600" s="24"/>
      <c r="D600" s="24"/>
      <c r="E600" s="24"/>
      <c r="F600" s="24"/>
      <c r="G600" s="24"/>
      <c r="H600" s="24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3"/>
      <c r="B601" s="24"/>
      <c r="C601" s="24"/>
      <c r="D601" s="24"/>
      <c r="E601" s="24"/>
      <c r="F601" s="24"/>
      <c r="G601" s="24"/>
      <c r="H601" s="24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3"/>
      <c r="B602" s="24"/>
      <c r="C602" s="24"/>
      <c r="D602" s="24"/>
      <c r="E602" s="24"/>
      <c r="F602" s="24"/>
      <c r="G602" s="24"/>
      <c r="H602" s="24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3"/>
      <c r="B603" s="24"/>
      <c r="C603" s="24"/>
      <c r="D603" s="24"/>
      <c r="E603" s="24"/>
      <c r="F603" s="24"/>
      <c r="G603" s="24"/>
      <c r="H603" s="24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3"/>
      <c r="B604" s="24"/>
      <c r="C604" s="24"/>
      <c r="D604" s="24"/>
      <c r="E604" s="24"/>
      <c r="F604" s="24"/>
      <c r="G604" s="24"/>
      <c r="H604" s="24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3"/>
      <c r="B605" s="24"/>
      <c r="C605" s="24"/>
      <c r="D605" s="24"/>
      <c r="E605" s="24"/>
      <c r="F605" s="24"/>
      <c r="G605" s="24"/>
      <c r="H605" s="24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3"/>
      <c r="B606" s="24"/>
      <c r="C606" s="24"/>
      <c r="D606" s="24"/>
      <c r="E606" s="24"/>
      <c r="F606" s="24"/>
      <c r="G606" s="24"/>
      <c r="H606" s="24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3"/>
      <c r="B607" s="24"/>
      <c r="C607" s="24"/>
      <c r="D607" s="24"/>
      <c r="E607" s="24"/>
      <c r="F607" s="24"/>
      <c r="G607" s="24"/>
      <c r="H607" s="24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3"/>
      <c r="B608" s="24"/>
      <c r="C608" s="24"/>
      <c r="D608" s="24"/>
      <c r="E608" s="24"/>
      <c r="F608" s="24"/>
      <c r="G608" s="24"/>
      <c r="H608" s="24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3"/>
      <c r="B609" s="24"/>
      <c r="C609" s="24"/>
      <c r="D609" s="24"/>
      <c r="E609" s="24"/>
      <c r="F609" s="24"/>
      <c r="G609" s="24"/>
      <c r="H609" s="24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3"/>
      <c r="B610" s="24"/>
      <c r="C610" s="24"/>
      <c r="D610" s="24"/>
      <c r="E610" s="24"/>
      <c r="F610" s="24"/>
      <c r="G610" s="24"/>
      <c r="H610" s="24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3"/>
      <c r="B611" s="24"/>
      <c r="C611" s="24"/>
      <c r="D611" s="24"/>
      <c r="E611" s="24"/>
      <c r="F611" s="24"/>
      <c r="G611" s="24"/>
      <c r="H611" s="24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3"/>
      <c r="B612" s="24"/>
      <c r="C612" s="24"/>
      <c r="D612" s="24"/>
      <c r="E612" s="24"/>
      <c r="F612" s="24"/>
      <c r="G612" s="24"/>
      <c r="H612" s="24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3"/>
      <c r="B613" s="24"/>
      <c r="C613" s="24"/>
      <c r="D613" s="24"/>
      <c r="E613" s="24"/>
      <c r="F613" s="24"/>
      <c r="G613" s="24"/>
      <c r="H613" s="24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3"/>
      <c r="B614" s="24"/>
      <c r="C614" s="24"/>
      <c r="D614" s="24"/>
      <c r="E614" s="24"/>
      <c r="F614" s="24"/>
      <c r="G614" s="24"/>
      <c r="H614" s="24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3"/>
      <c r="B615" s="24"/>
      <c r="C615" s="24"/>
      <c r="D615" s="24"/>
      <c r="E615" s="24"/>
      <c r="F615" s="24"/>
      <c r="G615" s="24"/>
      <c r="H615" s="24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3"/>
      <c r="B616" s="24"/>
      <c r="C616" s="24"/>
      <c r="D616" s="24"/>
      <c r="E616" s="24"/>
      <c r="F616" s="24"/>
      <c r="G616" s="24"/>
      <c r="H616" s="24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3"/>
      <c r="B617" s="24"/>
      <c r="C617" s="24"/>
      <c r="D617" s="24"/>
      <c r="E617" s="24"/>
      <c r="F617" s="24"/>
      <c r="G617" s="24"/>
      <c r="H617" s="24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3"/>
      <c r="B618" s="24"/>
      <c r="C618" s="24"/>
      <c r="D618" s="24"/>
      <c r="E618" s="24"/>
      <c r="F618" s="24"/>
      <c r="G618" s="24"/>
      <c r="H618" s="24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3"/>
      <c r="B619" s="24"/>
      <c r="C619" s="24"/>
      <c r="D619" s="24"/>
      <c r="E619" s="24"/>
      <c r="F619" s="24"/>
      <c r="G619" s="24"/>
      <c r="H619" s="24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3"/>
      <c r="B620" s="24"/>
      <c r="C620" s="24"/>
      <c r="D620" s="24"/>
      <c r="E620" s="24"/>
      <c r="F620" s="24"/>
      <c r="G620" s="24"/>
      <c r="H620" s="24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3"/>
      <c r="B621" s="24"/>
      <c r="C621" s="24"/>
      <c r="D621" s="24"/>
      <c r="E621" s="24"/>
      <c r="F621" s="24"/>
      <c r="G621" s="24"/>
      <c r="H621" s="24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3"/>
      <c r="B622" s="24"/>
      <c r="C622" s="24"/>
      <c r="D622" s="24"/>
      <c r="E622" s="24"/>
      <c r="F622" s="24"/>
      <c r="G622" s="24"/>
      <c r="H622" s="24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3"/>
      <c r="B623" s="24"/>
      <c r="C623" s="24"/>
      <c r="D623" s="24"/>
      <c r="E623" s="24"/>
      <c r="F623" s="24"/>
      <c r="G623" s="24"/>
      <c r="H623" s="24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3"/>
      <c r="B624" s="24"/>
      <c r="C624" s="24"/>
      <c r="D624" s="24"/>
      <c r="E624" s="24"/>
      <c r="F624" s="24"/>
      <c r="G624" s="24"/>
      <c r="H624" s="24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3"/>
      <c r="B625" s="24"/>
      <c r="C625" s="24"/>
      <c r="D625" s="24"/>
      <c r="E625" s="24"/>
      <c r="F625" s="24"/>
      <c r="G625" s="24"/>
      <c r="H625" s="24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3"/>
      <c r="B626" s="24"/>
      <c r="C626" s="24"/>
      <c r="D626" s="24"/>
      <c r="E626" s="24"/>
      <c r="F626" s="24"/>
      <c r="G626" s="24"/>
      <c r="H626" s="24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3"/>
      <c r="B627" s="24"/>
      <c r="C627" s="24"/>
      <c r="D627" s="24"/>
      <c r="E627" s="24"/>
      <c r="F627" s="24"/>
      <c r="G627" s="24"/>
      <c r="H627" s="24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3"/>
      <c r="B628" s="24"/>
      <c r="C628" s="24"/>
      <c r="D628" s="24"/>
      <c r="E628" s="24"/>
      <c r="F628" s="24"/>
      <c r="G628" s="24"/>
      <c r="H628" s="24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3"/>
      <c r="B629" s="24"/>
      <c r="C629" s="24"/>
      <c r="D629" s="24"/>
      <c r="E629" s="24"/>
      <c r="F629" s="24"/>
      <c r="G629" s="24"/>
      <c r="H629" s="24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3"/>
      <c r="B630" s="24"/>
      <c r="C630" s="24"/>
      <c r="D630" s="24"/>
      <c r="E630" s="24"/>
      <c r="F630" s="24"/>
      <c r="G630" s="24"/>
      <c r="H630" s="24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3"/>
      <c r="B631" s="24"/>
      <c r="C631" s="24"/>
      <c r="D631" s="24"/>
      <c r="E631" s="24"/>
      <c r="F631" s="24"/>
      <c r="G631" s="24"/>
      <c r="H631" s="24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3"/>
      <c r="B632" s="24"/>
      <c r="C632" s="24"/>
      <c r="D632" s="24"/>
      <c r="E632" s="24"/>
      <c r="F632" s="24"/>
      <c r="G632" s="24"/>
      <c r="H632" s="24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3"/>
      <c r="B633" s="24"/>
      <c r="C633" s="24"/>
      <c r="D633" s="24"/>
      <c r="E633" s="24"/>
      <c r="F633" s="24"/>
      <c r="G633" s="24"/>
      <c r="H633" s="24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3"/>
      <c r="B634" s="24"/>
      <c r="C634" s="24"/>
      <c r="D634" s="24"/>
      <c r="E634" s="24"/>
      <c r="F634" s="24"/>
      <c r="G634" s="24"/>
      <c r="H634" s="24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3"/>
      <c r="B635" s="24"/>
      <c r="C635" s="24"/>
      <c r="D635" s="24"/>
      <c r="E635" s="24"/>
      <c r="F635" s="24"/>
      <c r="G635" s="24"/>
      <c r="H635" s="24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3"/>
      <c r="B636" s="24"/>
      <c r="C636" s="24"/>
      <c r="D636" s="24"/>
      <c r="E636" s="24"/>
      <c r="F636" s="24"/>
      <c r="G636" s="24"/>
      <c r="H636" s="24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3"/>
      <c r="B637" s="24"/>
      <c r="C637" s="24"/>
      <c r="D637" s="24"/>
      <c r="E637" s="24"/>
      <c r="F637" s="24"/>
      <c r="G637" s="24"/>
      <c r="H637" s="24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3"/>
      <c r="B638" s="24"/>
      <c r="C638" s="24"/>
      <c r="D638" s="24"/>
      <c r="E638" s="24"/>
      <c r="F638" s="24"/>
      <c r="G638" s="24"/>
      <c r="H638" s="24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3"/>
      <c r="B639" s="24"/>
      <c r="C639" s="24"/>
      <c r="D639" s="24"/>
      <c r="E639" s="24"/>
      <c r="F639" s="24"/>
      <c r="G639" s="24"/>
      <c r="H639" s="24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3"/>
      <c r="B640" s="24"/>
      <c r="C640" s="24"/>
      <c r="D640" s="24"/>
      <c r="E640" s="24"/>
      <c r="F640" s="24"/>
      <c r="G640" s="24"/>
      <c r="H640" s="24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3"/>
      <c r="B641" s="24"/>
      <c r="C641" s="24"/>
      <c r="D641" s="24"/>
      <c r="E641" s="24"/>
      <c r="F641" s="24"/>
      <c r="G641" s="24"/>
      <c r="H641" s="24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3"/>
      <c r="B642" s="24"/>
      <c r="C642" s="24"/>
      <c r="D642" s="24"/>
      <c r="E642" s="24"/>
      <c r="F642" s="24"/>
      <c r="G642" s="24"/>
      <c r="H642" s="24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3"/>
      <c r="B643" s="24"/>
      <c r="C643" s="24"/>
      <c r="D643" s="24"/>
      <c r="E643" s="24"/>
      <c r="F643" s="24"/>
      <c r="G643" s="24"/>
      <c r="H643" s="24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3"/>
      <c r="B644" s="24"/>
      <c r="C644" s="24"/>
      <c r="D644" s="24"/>
      <c r="E644" s="24"/>
      <c r="F644" s="24"/>
      <c r="G644" s="24"/>
      <c r="H644" s="24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3"/>
      <c r="B645" s="24"/>
      <c r="C645" s="24"/>
      <c r="D645" s="24"/>
      <c r="E645" s="24"/>
      <c r="F645" s="24"/>
      <c r="G645" s="24"/>
      <c r="H645" s="24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3"/>
      <c r="B646" s="24"/>
      <c r="C646" s="24"/>
      <c r="D646" s="24"/>
      <c r="E646" s="24"/>
      <c r="F646" s="24"/>
      <c r="G646" s="24"/>
      <c r="H646" s="24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3"/>
      <c r="B647" s="24"/>
      <c r="C647" s="24"/>
      <c r="D647" s="24"/>
      <c r="E647" s="24"/>
      <c r="F647" s="24"/>
      <c r="G647" s="24"/>
      <c r="H647" s="24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3"/>
      <c r="B648" s="24"/>
      <c r="C648" s="24"/>
      <c r="D648" s="24"/>
      <c r="E648" s="24"/>
      <c r="F648" s="24"/>
      <c r="G648" s="24"/>
      <c r="H648" s="24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3"/>
      <c r="B649" s="24"/>
      <c r="C649" s="24"/>
      <c r="D649" s="24"/>
      <c r="E649" s="24"/>
      <c r="F649" s="24"/>
      <c r="G649" s="24"/>
      <c r="H649" s="24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3"/>
      <c r="B650" s="24"/>
      <c r="C650" s="24"/>
      <c r="D650" s="24"/>
      <c r="E650" s="24"/>
      <c r="F650" s="24"/>
      <c r="G650" s="24"/>
      <c r="H650" s="24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3"/>
      <c r="B651" s="24"/>
      <c r="C651" s="24"/>
      <c r="D651" s="24"/>
      <c r="E651" s="24"/>
      <c r="F651" s="24"/>
      <c r="G651" s="24"/>
      <c r="H651" s="24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3"/>
      <c r="B652" s="24"/>
      <c r="C652" s="24"/>
      <c r="D652" s="24"/>
      <c r="E652" s="24"/>
      <c r="F652" s="24"/>
      <c r="G652" s="24"/>
      <c r="H652" s="24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3"/>
      <c r="B653" s="24"/>
      <c r="C653" s="24"/>
      <c r="D653" s="24"/>
      <c r="E653" s="24"/>
      <c r="F653" s="24"/>
      <c r="G653" s="24"/>
      <c r="H653" s="24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3"/>
      <c r="B654" s="24"/>
      <c r="C654" s="24"/>
      <c r="D654" s="24"/>
      <c r="E654" s="24"/>
      <c r="F654" s="24"/>
      <c r="G654" s="24"/>
      <c r="H654" s="24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3"/>
      <c r="B655" s="24"/>
      <c r="C655" s="24"/>
      <c r="D655" s="24"/>
      <c r="E655" s="24"/>
      <c r="F655" s="24"/>
      <c r="G655" s="24"/>
      <c r="H655" s="24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3"/>
      <c r="B656" s="24"/>
      <c r="C656" s="24"/>
      <c r="D656" s="24"/>
      <c r="E656" s="24"/>
      <c r="F656" s="24"/>
      <c r="G656" s="24"/>
      <c r="H656" s="24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3"/>
      <c r="B657" s="24"/>
      <c r="C657" s="24"/>
      <c r="D657" s="24"/>
      <c r="E657" s="24"/>
      <c r="F657" s="24"/>
      <c r="G657" s="24"/>
      <c r="H657" s="24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3"/>
      <c r="B658" s="24"/>
      <c r="C658" s="24"/>
      <c r="D658" s="24"/>
      <c r="E658" s="24"/>
      <c r="F658" s="24"/>
      <c r="G658" s="24"/>
      <c r="H658" s="24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3"/>
      <c r="B659" s="24"/>
      <c r="C659" s="24"/>
      <c r="D659" s="24"/>
      <c r="E659" s="24"/>
      <c r="F659" s="24"/>
      <c r="G659" s="24"/>
      <c r="H659" s="24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3"/>
      <c r="B660" s="24"/>
      <c r="C660" s="24"/>
      <c r="D660" s="24"/>
      <c r="E660" s="24"/>
      <c r="F660" s="24"/>
      <c r="G660" s="24"/>
      <c r="H660" s="24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3"/>
      <c r="B661" s="24"/>
      <c r="C661" s="24"/>
      <c r="D661" s="24"/>
      <c r="E661" s="24"/>
      <c r="F661" s="24"/>
      <c r="G661" s="24"/>
      <c r="H661" s="24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3"/>
      <c r="B662" s="24"/>
      <c r="C662" s="24"/>
      <c r="D662" s="24"/>
      <c r="E662" s="24"/>
      <c r="F662" s="24"/>
      <c r="G662" s="24"/>
      <c r="H662" s="24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3"/>
      <c r="B663" s="24"/>
      <c r="C663" s="24"/>
      <c r="D663" s="24"/>
      <c r="E663" s="24"/>
      <c r="F663" s="24"/>
      <c r="G663" s="24"/>
      <c r="H663" s="24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3"/>
      <c r="B664" s="24"/>
      <c r="C664" s="24"/>
      <c r="D664" s="24"/>
      <c r="E664" s="24"/>
      <c r="F664" s="24"/>
      <c r="G664" s="24"/>
      <c r="H664" s="24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3"/>
      <c r="B665" s="24"/>
      <c r="C665" s="24"/>
      <c r="D665" s="24"/>
      <c r="E665" s="24"/>
      <c r="F665" s="24"/>
      <c r="G665" s="24"/>
      <c r="H665" s="24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3"/>
      <c r="B666" s="24"/>
      <c r="C666" s="24"/>
      <c r="D666" s="24"/>
      <c r="E666" s="24"/>
      <c r="F666" s="24"/>
      <c r="G666" s="24"/>
      <c r="H666" s="24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3"/>
      <c r="B667" s="24"/>
      <c r="C667" s="24"/>
      <c r="D667" s="24"/>
      <c r="E667" s="24"/>
      <c r="F667" s="24"/>
      <c r="G667" s="24"/>
      <c r="H667" s="24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3"/>
      <c r="B668" s="24"/>
      <c r="C668" s="24"/>
      <c r="D668" s="24"/>
      <c r="E668" s="24"/>
      <c r="F668" s="24"/>
      <c r="G668" s="24"/>
      <c r="H668" s="24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3"/>
      <c r="B669" s="24"/>
      <c r="C669" s="24"/>
      <c r="D669" s="24"/>
      <c r="E669" s="24"/>
      <c r="F669" s="24"/>
      <c r="G669" s="24"/>
      <c r="H669" s="24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3"/>
      <c r="B670" s="24"/>
      <c r="C670" s="24"/>
      <c r="D670" s="24"/>
      <c r="E670" s="24"/>
      <c r="F670" s="24"/>
      <c r="G670" s="24"/>
      <c r="H670" s="24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3"/>
      <c r="B671" s="24"/>
      <c r="C671" s="24"/>
      <c r="D671" s="24"/>
      <c r="E671" s="24"/>
      <c r="F671" s="24"/>
      <c r="G671" s="24"/>
      <c r="H671" s="24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3"/>
      <c r="B672" s="24"/>
      <c r="C672" s="24"/>
      <c r="D672" s="24"/>
      <c r="E672" s="24"/>
      <c r="F672" s="24"/>
      <c r="G672" s="24"/>
      <c r="H672" s="24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3"/>
      <c r="B673" s="24"/>
      <c r="C673" s="24"/>
      <c r="D673" s="24"/>
      <c r="E673" s="24"/>
      <c r="F673" s="24"/>
      <c r="G673" s="24"/>
      <c r="H673" s="24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3"/>
      <c r="B674" s="24"/>
      <c r="C674" s="24"/>
      <c r="D674" s="24"/>
      <c r="E674" s="24"/>
      <c r="F674" s="24"/>
      <c r="G674" s="24"/>
      <c r="H674" s="24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3"/>
      <c r="B675" s="24"/>
      <c r="C675" s="24"/>
      <c r="D675" s="24"/>
      <c r="E675" s="24"/>
      <c r="F675" s="24"/>
      <c r="G675" s="24"/>
      <c r="H675" s="24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3"/>
      <c r="B676" s="24"/>
      <c r="C676" s="24"/>
      <c r="D676" s="24"/>
      <c r="E676" s="24"/>
      <c r="F676" s="24"/>
      <c r="G676" s="24"/>
      <c r="H676" s="24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3"/>
      <c r="B677" s="24"/>
      <c r="C677" s="24"/>
      <c r="D677" s="24"/>
      <c r="E677" s="24"/>
      <c r="F677" s="24"/>
      <c r="G677" s="24"/>
      <c r="H677" s="24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3"/>
      <c r="B678" s="24"/>
      <c r="C678" s="24"/>
      <c r="D678" s="24"/>
      <c r="E678" s="24"/>
      <c r="F678" s="24"/>
      <c r="G678" s="24"/>
      <c r="H678" s="24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3"/>
      <c r="B679" s="24"/>
      <c r="C679" s="24"/>
      <c r="D679" s="24"/>
      <c r="E679" s="24"/>
      <c r="F679" s="24"/>
      <c r="G679" s="24"/>
      <c r="H679" s="24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3"/>
      <c r="B680" s="24"/>
      <c r="C680" s="24"/>
      <c r="D680" s="24"/>
      <c r="E680" s="24"/>
      <c r="F680" s="24"/>
      <c r="G680" s="24"/>
      <c r="H680" s="24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3"/>
      <c r="B681" s="24"/>
      <c r="C681" s="24"/>
      <c r="D681" s="24"/>
      <c r="E681" s="24"/>
      <c r="F681" s="24"/>
      <c r="G681" s="24"/>
      <c r="H681" s="24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3"/>
      <c r="B682" s="24"/>
      <c r="C682" s="24"/>
      <c r="D682" s="24"/>
      <c r="E682" s="24"/>
      <c r="F682" s="24"/>
      <c r="G682" s="24"/>
      <c r="H682" s="24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3"/>
      <c r="B683" s="24"/>
      <c r="C683" s="24"/>
      <c r="D683" s="24"/>
      <c r="E683" s="24"/>
      <c r="F683" s="24"/>
      <c r="G683" s="24"/>
      <c r="H683" s="24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3"/>
      <c r="B684" s="24"/>
      <c r="C684" s="24"/>
      <c r="D684" s="24"/>
      <c r="E684" s="24"/>
      <c r="F684" s="24"/>
      <c r="G684" s="24"/>
      <c r="H684" s="24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3"/>
      <c r="B685" s="24"/>
      <c r="C685" s="24"/>
      <c r="D685" s="24"/>
      <c r="E685" s="24"/>
      <c r="F685" s="24"/>
      <c r="G685" s="24"/>
      <c r="H685" s="24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3"/>
      <c r="B686" s="24"/>
      <c r="C686" s="24"/>
      <c r="D686" s="24"/>
      <c r="E686" s="24"/>
      <c r="F686" s="24"/>
      <c r="G686" s="24"/>
      <c r="H686" s="24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3"/>
      <c r="B687" s="24"/>
      <c r="C687" s="24"/>
      <c r="D687" s="24"/>
      <c r="E687" s="24"/>
      <c r="F687" s="24"/>
      <c r="G687" s="24"/>
      <c r="H687" s="24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3"/>
      <c r="B688" s="24"/>
      <c r="C688" s="24"/>
      <c r="D688" s="24"/>
      <c r="E688" s="24"/>
      <c r="F688" s="24"/>
      <c r="G688" s="24"/>
      <c r="H688" s="24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3"/>
      <c r="B689" s="24"/>
      <c r="C689" s="24"/>
      <c r="D689" s="24"/>
      <c r="E689" s="24"/>
      <c r="F689" s="24"/>
      <c r="G689" s="24"/>
      <c r="H689" s="24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3"/>
      <c r="B690" s="24"/>
      <c r="C690" s="24"/>
      <c r="D690" s="24"/>
      <c r="E690" s="24"/>
      <c r="F690" s="24"/>
      <c r="G690" s="24"/>
      <c r="H690" s="24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3"/>
      <c r="B691" s="24"/>
      <c r="C691" s="24"/>
      <c r="D691" s="24"/>
      <c r="E691" s="24"/>
      <c r="F691" s="24"/>
      <c r="G691" s="24"/>
      <c r="H691" s="24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3"/>
      <c r="B692" s="24"/>
      <c r="C692" s="24"/>
      <c r="D692" s="24"/>
      <c r="E692" s="24"/>
      <c r="F692" s="24"/>
      <c r="G692" s="24"/>
      <c r="H692" s="24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3"/>
      <c r="B693" s="24"/>
      <c r="C693" s="24"/>
      <c r="D693" s="24"/>
      <c r="E693" s="24"/>
      <c r="F693" s="24"/>
      <c r="G693" s="24"/>
      <c r="H693" s="24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3"/>
      <c r="B694" s="24"/>
      <c r="C694" s="24"/>
      <c r="D694" s="24"/>
      <c r="E694" s="24"/>
      <c r="F694" s="24"/>
      <c r="G694" s="24"/>
      <c r="H694" s="24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3"/>
      <c r="B695" s="24"/>
      <c r="C695" s="24"/>
      <c r="D695" s="24"/>
      <c r="E695" s="24"/>
      <c r="F695" s="24"/>
      <c r="G695" s="24"/>
      <c r="H695" s="24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3"/>
      <c r="B696" s="24"/>
      <c r="C696" s="24"/>
      <c r="D696" s="24"/>
      <c r="E696" s="24"/>
      <c r="F696" s="24"/>
      <c r="G696" s="24"/>
      <c r="H696" s="24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3"/>
      <c r="B697" s="24"/>
      <c r="C697" s="24"/>
      <c r="D697" s="24"/>
      <c r="E697" s="24"/>
      <c r="F697" s="24"/>
      <c r="G697" s="24"/>
      <c r="H697" s="24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3"/>
      <c r="B698" s="24"/>
      <c r="C698" s="24"/>
      <c r="D698" s="24"/>
      <c r="E698" s="24"/>
      <c r="F698" s="24"/>
      <c r="G698" s="24"/>
      <c r="H698" s="24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3"/>
      <c r="B699" s="24"/>
      <c r="C699" s="24"/>
      <c r="D699" s="24"/>
      <c r="E699" s="24"/>
      <c r="F699" s="24"/>
      <c r="G699" s="24"/>
      <c r="H699" s="24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3"/>
      <c r="B700" s="24"/>
      <c r="C700" s="24"/>
      <c r="D700" s="24"/>
      <c r="E700" s="24"/>
      <c r="F700" s="24"/>
      <c r="G700" s="24"/>
      <c r="H700" s="24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3"/>
      <c r="B701" s="24"/>
      <c r="C701" s="24"/>
      <c r="D701" s="24"/>
      <c r="E701" s="24"/>
      <c r="F701" s="24"/>
      <c r="G701" s="24"/>
      <c r="H701" s="24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3"/>
      <c r="B702" s="24"/>
      <c r="C702" s="24"/>
      <c r="D702" s="24"/>
      <c r="E702" s="24"/>
      <c r="F702" s="24"/>
      <c r="G702" s="24"/>
      <c r="H702" s="24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3"/>
      <c r="B703" s="24"/>
      <c r="C703" s="24"/>
      <c r="D703" s="24"/>
      <c r="E703" s="24"/>
      <c r="F703" s="24"/>
      <c r="G703" s="24"/>
      <c r="H703" s="24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3"/>
      <c r="B704" s="24"/>
      <c r="C704" s="24"/>
      <c r="D704" s="24"/>
      <c r="E704" s="24"/>
      <c r="F704" s="24"/>
      <c r="G704" s="24"/>
      <c r="H704" s="24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3"/>
      <c r="B705" s="24"/>
      <c r="C705" s="24"/>
      <c r="D705" s="24"/>
      <c r="E705" s="24"/>
      <c r="F705" s="24"/>
      <c r="G705" s="24"/>
      <c r="H705" s="24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3"/>
      <c r="B706" s="24"/>
      <c r="C706" s="24"/>
      <c r="D706" s="24"/>
      <c r="E706" s="24"/>
      <c r="F706" s="24"/>
      <c r="G706" s="24"/>
      <c r="H706" s="24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3"/>
      <c r="B707" s="24"/>
      <c r="C707" s="24"/>
      <c r="D707" s="24"/>
      <c r="E707" s="24"/>
      <c r="F707" s="24"/>
      <c r="G707" s="24"/>
      <c r="H707" s="24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3"/>
      <c r="B708" s="24"/>
      <c r="C708" s="24"/>
      <c r="D708" s="24"/>
      <c r="E708" s="24"/>
      <c r="F708" s="24"/>
      <c r="G708" s="24"/>
      <c r="H708" s="24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3"/>
      <c r="B709" s="24"/>
      <c r="C709" s="24"/>
      <c r="D709" s="24"/>
      <c r="E709" s="24"/>
      <c r="F709" s="24"/>
      <c r="G709" s="24"/>
      <c r="H709" s="24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3"/>
      <c r="B710" s="24"/>
      <c r="C710" s="24"/>
      <c r="D710" s="24"/>
      <c r="E710" s="24"/>
      <c r="F710" s="24"/>
      <c r="G710" s="24"/>
      <c r="H710" s="24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3"/>
      <c r="B711" s="24"/>
      <c r="C711" s="24"/>
      <c r="D711" s="24"/>
      <c r="E711" s="24"/>
      <c r="F711" s="24"/>
      <c r="G711" s="24"/>
      <c r="H711" s="24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3"/>
      <c r="B712" s="24"/>
      <c r="C712" s="24"/>
      <c r="D712" s="24"/>
      <c r="E712" s="24"/>
      <c r="F712" s="24"/>
      <c r="G712" s="24"/>
      <c r="H712" s="24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3"/>
      <c r="B713" s="24"/>
      <c r="C713" s="24"/>
      <c r="D713" s="24"/>
      <c r="E713" s="24"/>
      <c r="F713" s="24"/>
      <c r="G713" s="24"/>
      <c r="H713" s="24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3"/>
      <c r="B714" s="24"/>
      <c r="C714" s="24"/>
      <c r="D714" s="24"/>
      <c r="E714" s="24"/>
      <c r="F714" s="24"/>
      <c r="G714" s="24"/>
      <c r="H714" s="24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3"/>
      <c r="B715" s="24"/>
      <c r="C715" s="24"/>
      <c r="D715" s="24"/>
      <c r="E715" s="24"/>
      <c r="F715" s="24"/>
      <c r="G715" s="24"/>
      <c r="H715" s="24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3"/>
      <c r="B716" s="24"/>
      <c r="C716" s="24"/>
      <c r="D716" s="24"/>
      <c r="E716" s="24"/>
      <c r="F716" s="24"/>
      <c r="G716" s="24"/>
      <c r="H716" s="24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3"/>
      <c r="B717" s="24"/>
      <c r="C717" s="24"/>
      <c r="D717" s="24"/>
      <c r="E717" s="24"/>
      <c r="F717" s="24"/>
      <c r="G717" s="24"/>
      <c r="H717" s="24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3"/>
      <c r="B718" s="24"/>
      <c r="C718" s="24"/>
      <c r="D718" s="24"/>
      <c r="E718" s="24"/>
      <c r="F718" s="24"/>
      <c r="G718" s="24"/>
      <c r="H718" s="24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3"/>
      <c r="B719" s="24"/>
      <c r="C719" s="24"/>
      <c r="D719" s="24"/>
      <c r="E719" s="24"/>
      <c r="F719" s="24"/>
      <c r="G719" s="24"/>
      <c r="H719" s="24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3"/>
      <c r="B720" s="24"/>
      <c r="C720" s="24"/>
      <c r="D720" s="24"/>
      <c r="E720" s="24"/>
      <c r="F720" s="24"/>
      <c r="G720" s="24"/>
      <c r="H720" s="24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3"/>
      <c r="B721" s="24"/>
      <c r="C721" s="24"/>
      <c r="D721" s="24"/>
      <c r="E721" s="24"/>
      <c r="F721" s="24"/>
      <c r="G721" s="24"/>
      <c r="H721" s="24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3"/>
      <c r="B722" s="24"/>
      <c r="C722" s="24"/>
      <c r="D722" s="24"/>
      <c r="E722" s="24"/>
      <c r="F722" s="24"/>
      <c r="G722" s="24"/>
      <c r="H722" s="24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3"/>
      <c r="B723" s="24"/>
      <c r="C723" s="24"/>
      <c r="D723" s="24"/>
      <c r="E723" s="24"/>
      <c r="F723" s="24"/>
      <c r="G723" s="24"/>
      <c r="H723" s="24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3"/>
      <c r="B724" s="24"/>
      <c r="C724" s="24"/>
      <c r="D724" s="24"/>
      <c r="E724" s="24"/>
      <c r="F724" s="24"/>
      <c r="G724" s="24"/>
      <c r="H724" s="24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3"/>
      <c r="B725" s="24"/>
      <c r="C725" s="24"/>
      <c r="D725" s="24"/>
      <c r="E725" s="24"/>
      <c r="F725" s="24"/>
      <c r="G725" s="24"/>
      <c r="H725" s="24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3"/>
      <c r="B726" s="24"/>
      <c r="C726" s="24"/>
      <c r="D726" s="24"/>
      <c r="E726" s="24"/>
      <c r="F726" s="24"/>
      <c r="G726" s="24"/>
      <c r="H726" s="24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3"/>
      <c r="B727" s="24"/>
      <c r="C727" s="24"/>
      <c r="D727" s="24"/>
      <c r="E727" s="24"/>
      <c r="F727" s="24"/>
      <c r="G727" s="24"/>
      <c r="H727" s="24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3"/>
      <c r="B728" s="24"/>
      <c r="C728" s="24"/>
      <c r="D728" s="24"/>
      <c r="E728" s="24"/>
      <c r="F728" s="24"/>
      <c r="G728" s="24"/>
      <c r="H728" s="24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3"/>
      <c r="B729" s="24"/>
      <c r="C729" s="24"/>
      <c r="D729" s="24"/>
      <c r="E729" s="24"/>
      <c r="F729" s="24"/>
      <c r="G729" s="24"/>
      <c r="H729" s="24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3"/>
      <c r="B730" s="24"/>
      <c r="C730" s="24"/>
      <c r="D730" s="24"/>
      <c r="E730" s="24"/>
      <c r="F730" s="24"/>
      <c r="G730" s="24"/>
      <c r="H730" s="24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3"/>
      <c r="B731" s="24"/>
      <c r="C731" s="24"/>
      <c r="D731" s="24"/>
      <c r="E731" s="24"/>
      <c r="F731" s="24"/>
      <c r="G731" s="24"/>
      <c r="H731" s="24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3"/>
      <c r="B732" s="24"/>
      <c r="C732" s="24"/>
      <c r="D732" s="24"/>
      <c r="E732" s="24"/>
      <c r="F732" s="24"/>
      <c r="G732" s="24"/>
      <c r="H732" s="24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3"/>
      <c r="B733" s="24"/>
      <c r="C733" s="24"/>
      <c r="D733" s="24"/>
      <c r="E733" s="24"/>
      <c r="F733" s="24"/>
      <c r="G733" s="24"/>
      <c r="H733" s="24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3"/>
      <c r="B734" s="24"/>
      <c r="C734" s="24"/>
      <c r="D734" s="24"/>
      <c r="E734" s="24"/>
      <c r="F734" s="24"/>
      <c r="G734" s="24"/>
      <c r="H734" s="24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3"/>
      <c r="B735" s="24"/>
      <c r="C735" s="24"/>
      <c r="D735" s="24"/>
      <c r="E735" s="24"/>
      <c r="F735" s="24"/>
      <c r="G735" s="24"/>
      <c r="H735" s="24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3"/>
      <c r="B736" s="24"/>
      <c r="C736" s="24"/>
      <c r="D736" s="24"/>
      <c r="E736" s="24"/>
      <c r="F736" s="24"/>
      <c r="G736" s="24"/>
      <c r="H736" s="24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3"/>
      <c r="B737" s="24"/>
      <c r="C737" s="24"/>
      <c r="D737" s="24"/>
      <c r="E737" s="24"/>
      <c r="F737" s="24"/>
      <c r="G737" s="24"/>
      <c r="H737" s="24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3"/>
      <c r="B738" s="24"/>
      <c r="C738" s="24"/>
      <c r="D738" s="24"/>
      <c r="E738" s="24"/>
      <c r="F738" s="24"/>
      <c r="G738" s="24"/>
      <c r="H738" s="24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3"/>
      <c r="B739" s="24"/>
      <c r="C739" s="24"/>
      <c r="D739" s="24"/>
      <c r="E739" s="24"/>
      <c r="F739" s="24"/>
      <c r="G739" s="24"/>
      <c r="H739" s="24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3"/>
      <c r="B740" s="24"/>
      <c r="C740" s="24"/>
      <c r="D740" s="24"/>
      <c r="E740" s="24"/>
      <c r="F740" s="24"/>
      <c r="G740" s="24"/>
      <c r="H740" s="24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3"/>
      <c r="B741" s="24"/>
      <c r="C741" s="24"/>
      <c r="D741" s="24"/>
      <c r="E741" s="24"/>
      <c r="F741" s="24"/>
      <c r="G741" s="24"/>
      <c r="H741" s="24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3"/>
      <c r="B742" s="24"/>
      <c r="C742" s="24"/>
      <c r="D742" s="24"/>
      <c r="E742" s="24"/>
      <c r="F742" s="24"/>
      <c r="G742" s="24"/>
      <c r="H742" s="24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3"/>
      <c r="B743" s="24"/>
      <c r="C743" s="24"/>
      <c r="D743" s="24"/>
      <c r="E743" s="24"/>
      <c r="F743" s="24"/>
      <c r="G743" s="24"/>
      <c r="H743" s="24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3"/>
      <c r="B744" s="24"/>
      <c r="C744" s="24"/>
      <c r="D744" s="24"/>
      <c r="E744" s="24"/>
      <c r="F744" s="24"/>
      <c r="G744" s="24"/>
      <c r="H744" s="24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3"/>
      <c r="B745" s="24"/>
      <c r="C745" s="24"/>
      <c r="D745" s="24"/>
      <c r="E745" s="24"/>
      <c r="F745" s="24"/>
      <c r="G745" s="24"/>
      <c r="H745" s="24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3"/>
      <c r="B746" s="24"/>
      <c r="C746" s="24"/>
      <c r="D746" s="24"/>
      <c r="E746" s="24"/>
      <c r="F746" s="24"/>
      <c r="G746" s="24"/>
      <c r="H746" s="24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3"/>
      <c r="B747" s="24"/>
      <c r="C747" s="24"/>
      <c r="D747" s="24"/>
      <c r="E747" s="24"/>
      <c r="F747" s="24"/>
      <c r="G747" s="24"/>
      <c r="H747" s="24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3"/>
      <c r="B748" s="24"/>
      <c r="C748" s="24"/>
      <c r="D748" s="24"/>
      <c r="E748" s="24"/>
      <c r="F748" s="24"/>
      <c r="G748" s="24"/>
      <c r="H748" s="24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3"/>
      <c r="B749" s="24"/>
      <c r="C749" s="24"/>
      <c r="D749" s="24"/>
      <c r="E749" s="24"/>
      <c r="F749" s="24"/>
      <c r="G749" s="24"/>
      <c r="H749" s="24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3"/>
      <c r="B750" s="24"/>
      <c r="C750" s="24"/>
      <c r="D750" s="24"/>
      <c r="E750" s="24"/>
      <c r="F750" s="24"/>
      <c r="G750" s="24"/>
      <c r="H750" s="24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3"/>
      <c r="B751" s="24"/>
      <c r="C751" s="24"/>
      <c r="D751" s="24"/>
      <c r="E751" s="24"/>
      <c r="F751" s="24"/>
      <c r="G751" s="24"/>
      <c r="H751" s="24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3"/>
      <c r="B752" s="24"/>
      <c r="C752" s="24"/>
      <c r="D752" s="24"/>
      <c r="E752" s="24"/>
      <c r="F752" s="24"/>
      <c r="G752" s="24"/>
      <c r="H752" s="24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3"/>
      <c r="B753" s="24"/>
      <c r="C753" s="24"/>
      <c r="D753" s="24"/>
      <c r="E753" s="24"/>
      <c r="F753" s="24"/>
      <c r="G753" s="24"/>
      <c r="H753" s="24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3"/>
      <c r="B754" s="24"/>
      <c r="C754" s="24"/>
      <c r="D754" s="24"/>
      <c r="E754" s="24"/>
      <c r="F754" s="24"/>
      <c r="G754" s="24"/>
      <c r="H754" s="24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3"/>
      <c r="B755" s="24"/>
      <c r="C755" s="24"/>
      <c r="D755" s="24"/>
      <c r="E755" s="24"/>
      <c r="F755" s="24"/>
      <c r="G755" s="24"/>
      <c r="H755" s="24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3"/>
      <c r="B756" s="24"/>
      <c r="C756" s="24"/>
      <c r="D756" s="24"/>
      <c r="E756" s="24"/>
      <c r="F756" s="24"/>
      <c r="G756" s="24"/>
      <c r="H756" s="24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3"/>
      <c r="B757" s="24"/>
      <c r="C757" s="24"/>
      <c r="D757" s="24"/>
      <c r="E757" s="24"/>
      <c r="F757" s="24"/>
      <c r="G757" s="24"/>
      <c r="H757" s="24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3"/>
      <c r="B758" s="24"/>
      <c r="C758" s="24"/>
      <c r="D758" s="24"/>
      <c r="E758" s="24"/>
      <c r="F758" s="24"/>
      <c r="G758" s="24"/>
      <c r="H758" s="24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3"/>
      <c r="B759" s="24"/>
      <c r="C759" s="24"/>
      <c r="D759" s="24"/>
      <c r="E759" s="24"/>
      <c r="F759" s="24"/>
      <c r="G759" s="24"/>
      <c r="H759" s="24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3"/>
      <c r="B760" s="24"/>
      <c r="C760" s="24"/>
      <c r="D760" s="24"/>
      <c r="E760" s="24"/>
      <c r="F760" s="24"/>
      <c r="G760" s="24"/>
      <c r="H760" s="24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3"/>
      <c r="B761" s="24"/>
      <c r="C761" s="24"/>
      <c r="D761" s="24"/>
      <c r="E761" s="24"/>
      <c r="F761" s="24"/>
      <c r="G761" s="24"/>
      <c r="H761" s="24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3"/>
      <c r="B762" s="24"/>
      <c r="C762" s="24"/>
      <c r="D762" s="24"/>
      <c r="E762" s="24"/>
      <c r="F762" s="24"/>
      <c r="G762" s="24"/>
      <c r="H762" s="24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3"/>
      <c r="B763" s="24"/>
      <c r="C763" s="24"/>
      <c r="D763" s="24"/>
      <c r="E763" s="24"/>
      <c r="F763" s="24"/>
      <c r="G763" s="24"/>
      <c r="H763" s="24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3"/>
      <c r="B764" s="24"/>
      <c r="C764" s="24"/>
      <c r="D764" s="24"/>
      <c r="E764" s="24"/>
      <c r="F764" s="24"/>
      <c r="G764" s="24"/>
      <c r="H764" s="24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3"/>
      <c r="B765" s="24"/>
      <c r="C765" s="24"/>
      <c r="D765" s="24"/>
      <c r="E765" s="24"/>
      <c r="F765" s="24"/>
      <c r="G765" s="24"/>
      <c r="H765" s="24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3"/>
      <c r="B766" s="24"/>
      <c r="C766" s="24"/>
      <c r="D766" s="24"/>
      <c r="E766" s="24"/>
      <c r="F766" s="24"/>
      <c r="G766" s="24"/>
      <c r="H766" s="24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3"/>
      <c r="B767" s="24"/>
      <c r="C767" s="24"/>
      <c r="D767" s="24"/>
      <c r="E767" s="24"/>
      <c r="F767" s="24"/>
      <c r="G767" s="24"/>
      <c r="H767" s="24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3"/>
      <c r="B768" s="24"/>
      <c r="C768" s="24"/>
      <c r="D768" s="24"/>
      <c r="E768" s="24"/>
      <c r="F768" s="24"/>
      <c r="G768" s="24"/>
      <c r="H768" s="24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3"/>
      <c r="B769" s="24"/>
      <c r="C769" s="24"/>
      <c r="D769" s="24"/>
      <c r="E769" s="24"/>
      <c r="F769" s="24"/>
      <c r="G769" s="24"/>
      <c r="H769" s="24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3"/>
      <c r="B770" s="24"/>
      <c r="C770" s="24"/>
      <c r="D770" s="24"/>
      <c r="E770" s="24"/>
      <c r="F770" s="24"/>
      <c r="G770" s="24"/>
      <c r="H770" s="24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3"/>
      <c r="B771" s="24"/>
      <c r="C771" s="24"/>
      <c r="D771" s="24"/>
      <c r="E771" s="24"/>
      <c r="F771" s="24"/>
      <c r="G771" s="24"/>
      <c r="H771" s="24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3"/>
      <c r="B772" s="24"/>
      <c r="C772" s="24"/>
      <c r="D772" s="24"/>
      <c r="E772" s="24"/>
      <c r="F772" s="24"/>
      <c r="G772" s="24"/>
      <c r="H772" s="24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3"/>
      <c r="B773" s="24"/>
      <c r="C773" s="24"/>
      <c r="D773" s="24"/>
      <c r="E773" s="24"/>
      <c r="F773" s="24"/>
      <c r="G773" s="24"/>
      <c r="H773" s="24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3"/>
      <c r="B774" s="24"/>
      <c r="C774" s="24"/>
      <c r="D774" s="24"/>
      <c r="E774" s="24"/>
      <c r="F774" s="24"/>
      <c r="G774" s="24"/>
      <c r="H774" s="24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3"/>
      <c r="B775" s="24"/>
      <c r="C775" s="24"/>
      <c r="D775" s="24"/>
      <c r="E775" s="24"/>
      <c r="F775" s="24"/>
      <c r="G775" s="24"/>
      <c r="H775" s="24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3"/>
      <c r="B776" s="24"/>
      <c r="C776" s="24"/>
      <c r="D776" s="24"/>
      <c r="E776" s="24"/>
      <c r="F776" s="24"/>
      <c r="G776" s="24"/>
      <c r="H776" s="24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3"/>
      <c r="B777" s="24"/>
      <c r="C777" s="24"/>
      <c r="D777" s="24"/>
      <c r="E777" s="24"/>
      <c r="F777" s="24"/>
      <c r="G777" s="24"/>
      <c r="H777" s="24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3"/>
      <c r="B778" s="24"/>
      <c r="C778" s="24"/>
      <c r="D778" s="24"/>
      <c r="E778" s="24"/>
      <c r="F778" s="24"/>
      <c r="G778" s="24"/>
      <c r="H778" s="24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3"/>
      <c r="B779" s="24"/>
      <c r="C779" s="24"/>
      <c r="D779" s="24"/>
      <c r="E779" s="24"/>
      <c r="F779" s="24"/>
      <c r="G779" s="24"/>
      <c r="H779" s="24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3"/>
      <c r="B780" s="24"/>
      <c r="C780" s="24"/>
      <c r="D780" s="24"/>
      <c r="E780" s="24"/>
      <c r="F780" s="24"/>
      <c r="G780" s="24"/>
      <c r="H780" s="24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3"/>
      <c r="B781" s="24"/>
      <c r="C781" s="24"/>
      <c r="D781" s="24"/>
      <c r="E781" s="24"/>
      <c r="F781" s="24"/>
      <c r="G781" s="24"/>
      <c r="H781" s="24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3"/>
      <c r="B782" s="24"/>
      <c r="C782" s="24"/>
      <c r="D782" s="24"/>
      <c r="E782" s="24"/>
      <c r="F782" s="24"/>
      <c r="G782" s="24"/>
      <c r="H782" s="24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3"/>
      <c r="B783" s="24"/>
      <c r="C783" s="24"/>
      <c r="D783" s="24"/>
      <c r="E783" s="24"/>
      <c r="F783" s="24"/>
      <c r="G783" s="24"/>
      <c r="H783" s="24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3"/>
      <c r="B784" s="24"/>
      <c r="C784" s="24"/>
      <c r="D784" s="24"/>
      <c r="E784" s="24"/>
      <c r="F784" s="24"/>
      <c r="G784" s="24"/>
      <c r="H784" s="24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3"/>
      <c r="B785" s="24"/>
      <c r="C785" s="24"/>
      <c r="D785" s="24"/>
      <c r="E785" s="24"/>
      <c r="F785" s="24"/>
      <c r="G785" s="24"/>
      <c r="H785" s="24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3"/>
      <c r="B786" s="24"/>
      <c r="C786" s="24"/>
      <c r="D786" s="24"/>
      <c r="E786" s="24"/>
      <c r="F786" s="24"/>
      <c r="G786" s="24"/>
      <c r="H786" s="24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3"/>
      <c r="B787" s="24"/>
      <c r="C787" s="24"/>
      <c r="D787" s="24"/>
      <c r="E787" s="24"/>
      <c r="F787" s="24"/>
      <c r="G787" s="24"/>
      <c r="H787" s="24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3"/>
      <c r="B788" s="24"/>
      <c r="C788" s="24"/>
      <c r="D788" s="24"/>
      <c r="E788" s="24"/>
      <c r="F788" s="24"/>
      <c r="G788" s="24"/>
      <c r="H788" s="24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3"/>
      <c r="B789" s="24"/>
      <c r="C789" s="24"/>
      <c r="D789" s="24"/>
      <c r="E789" s="24"/>
      <c r="F789" s="24"/>
      <c r="G789" s="24"/>
      <c r="H789" s="24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3"/>
      <c r="B790" s="24"/>
      <c r="C790" s="24"/>
      <c r="D790" s="24"/>
      <c r="E790" s="24"/>
      <c r="F790" s="24"/>
      <c r="G790" s="24"/>
      <c r="H790" s="24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3"/>
      <c r="B791" s="24"/>
      <c r="C791" s="24"/>
      <c r="D791" s="24"/>
      <c r="E791" s="24"/>
      <c r="F791" s="24"/>
      <c r="G791" s="24"/>
      <c r="H791" s="24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3"/>
      <c r="B792" s="24"/>
      <c r="C792" s="24"/>
      <c r="D792" s="24"/>
      <c r="E792" s="24"/>
      <c r="F792" s="24"/>
      <c r="G792" s="24"/>
      <c r="H792" s="24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3"/>
      <c r="B793" s="24"/>
      <c r="C793" s="24"/>
      <c r="D793" s="24"/>
      <c r="E793" s="24"/>
      <c r="F793" s="24"/>
      <c r="G793" s="24"/>
      <c r="H793" s="24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3"/>
      <c r="B794" s="24"/>
      <c r="C794" s="24"/>
      <c r="D794" s="24"/>
      <c r="E794" s="24"/>
      <c r="F794" s="24"/>
      <c r="G794" s="24"/>
      <c r="H794" s="24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3"/>
      <c r="B795" s="24"/>
      <c r="C795" s="24"/>
      <c r="D795" s="24"/>
      <c r="E795" s="24"/>
      <c r="F795" s="24"/>
      <c r="G795" s="24"/>
      <c r="H795" s="24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3"/>
      <c r="B796" s="24"/>
      <c r="C796" s="24"/>
      <c r="D796" s="24"/>
      <c r="E796" s="24"/>
      <c r="F796" s="24"/>
      <c r="G796" s="24"/>
      <c r="H796" s="24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3"/>
      <c r="B797" s="24"/>
      <c r="C797" s="24"/>
      <c r="D797" s="24"/>
      <c r="E797" s="24"/>
      <c r="F797" s="24"/>
      <c r="G797" s="24"/>
      <c r="H797" s="24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3"/>
      <c r="B798" s="24"/>
      <c r="C798" s="24"/>
      <c r="D798" s="24"/>
      <c r="E798" s="24"/>
      <c r="F798" s="24"/>
      <c r="G798" s="24"/>
      <c r="H798" s="24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3"/>
      <c r="B799" s="24"/>
      <c r="C799" s="24"/>
      <c r="D799" s="24"/>
      <c r="E799" s="24"/>
      <c r="F799" s="24"/>
      <c r="G799" s="24"/>
      <c r="H799" s="24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3"/>
      <c r="B800" s="24"/>
      <c r="C800" s="24"/>
      <c r="D800" s="24"/>
      <c r="E800" s="24"/>
      <c r="F800" s="24"/>
      <c r="G800" s="24"/>
      <c r="H800" s="24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3"/>
      <c r="B801" s="24"/>
      <c r="C801" s="24"/>
      <c r="D801" s="24"/>
      <c r="E801" s="24"/>
      <c r="F801" s="24"/>
      <c r="G801" s="24"/>
      <c r="H801" s="24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3"/>
      <c r="B802" s="24"/>
      <c r="C802" s="24"/>
      <c r="D802" s="24"/>
      <c r="E802" s="24"/>
      <c r="F802" s="24"/>
      <c r="G802" s="24"/>
      <c r="H802" s="24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3"/>
      <c r="B803" s="24"/>
      <c r="C803" s="24"/>
      <c r="D803" s="24"/>
      <c r="E803" s="24"/>
      <c r="F803" s="24"/>
      <c r="G803" s="24"/>
      <c r="H803" s="24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3"/>
      <c r="B804" s="24"/>
      <c r="C804" s="24"/>
      <c r="D804" s="24"/>
      <c r="E804" s="24"/>
      <c r="F804" s="24"/>
      <c r="G804" s="24"/>
      <c r="H804" s="24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3"/>
      <c r="B805" s="24"/>
      <c r="C805" s="24"/>
      <c r="D805" s="24"/>
      <c r="E805" s="24"/>
      <c r="F805" s="24"/>
      <c r="G805" s="24"/>
      <c r="H805" s="24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3"/>
      <c r="B806" s="24"/>
      <c r="C806" s="24"/>
      <c r="D806" s="24"/>
      <c r="E806" s="24"/>
      <c r="F806" s="24"/>
      <c r="G806" s="24"/>
      <c r="H806" s="24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3"/>
      <c r="B807" s="24"/>
      <c r="C807" s="24"/>
      <c r="D807" s="24"/>
      <c r="E807" s="24"/>
      <c r="F807" s="24"/>
      <c r="G807" s="24"/>
      <c r="H807" s="24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3"/>
      <c r="B808" s="24"/>
      <c r="C808" s="24"/>
      <c r="D808" s="24"/>
      <c r="E808" s="24"/>
      <c r="F808" s="24"/>
      <c r="G808" s="24"/>
      <c r="H808" s="24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3"/>
      <c r="B809" s="24"/>
      <c r="C809" s="24"/>
      <c r="D809" s="24"/>
      <c r="E809" s="24"/>
      <c r="F809" s="24"/>
      <c r="G809" s="24"/>
      <c r="H809" s="24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3"/>
      <c r="B810" s="24"/>
      <c r="C810" s="24"/>
      <c r="D810" s="24"/>
      <c r="E810" s="24"/>
      <c r="F810" s="24"/>
      <c r="G810" s="24"/>
      <c r="H810" s="24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3"/>
      <c r="B811" s="24"/>
      <c r="C811" s="24"/>
      <c r="D811" s="24"/>
      <c r="E811" s="24"/>
      <c r="F811" s="24"/>
      <c r="G811" s="24"/>
      <c r="H811" s="24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3"/>
      <c r="B812" s="24"/>
      <c r="C812" s="24"/>
      <c r="D812" s="24"/>
      <c r="E812" s="24"/>
      <c r="F812" s="24"/>
      <c r="G812" s="24"/>
      <c r="H812" s="24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3"/>
      <c r="B813" s="24"/>
      <c r="C813" s="24"/>
      <c r="D813" s="24"/>
      <c r="E813" s="24"/>
      <c r="F813" s="24"/>
      <c r="G813" s="24"/>
      <c r="H813" s="24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3"/>
      <c r="B814" s="24"/>
      <c r="C814" s="24"/>
      <c r="D814" s="24"/>
      <c r="E814" s="24"/>
      <c r="F814" s="24"/>
      <c r="G814" s="24"/>
      <c r="H814" s="24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3"/>
      <c r="B815" s="24"/>
      <c r="C815" s="24"/>
      <c r="D815" s="24"/>
      <c r="E815" s="24"/>
      <c r="F815" s="24"/>
      <c r="G815" s="24"/>
      <c r="H815" s="24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3"/>
      <c r="B816" s="24"/>
      <c r="C816" s="24"/>
      <c r="D816" s="24"/>
      <c r="E816" s="24"/>
      <c r="F816" s="24"/>
      <c r="G816" s="24"/>
      <c r="H816" s="24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3"/>
      <c r="B817" s="24"/>
      <c r="C817" s="24"/>
      <c r="D817" s="24"/>
      <c r="E817" s="24"/>
      <c r="F817" s="24"/>
      <c r="G817" s="24"/>
      <c r="H817" s="24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3"/>
      <c r="B818" s="24"/>
      <c r="C818" s="24"/>
      <c r="D818" s="24"/>
      <c r="E818" s="24"/>
      <c r="F818" s="24"/>
      <c r="G818" s="24"/>
      <c r="H818" s="24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3"/>
      <c r="B819" s="24"/>
      <c r="C819" s="24"/>
      <c r="D819" s="24"/>
      <c r="E819" s="24"/>
      <c r="F819" s="24"/>
      <c r="G819" s="24"/>
      <c r="H819" s="24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3"/>
      <c r="B820" s="24"/>
      <c r="C820" s="24"/>
      <c r="D820" s="24"/>
      <c r="E820" s="24"/>
      <c r="F820" s="24"/>
      <c r="G820" s="24"/>
      <c r="H820" s="24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3"/>
      <c r="B821" s="24"/>
      <c r="C821" s="24"/>
      <c r="D821" s="24"/>
      <c r="E821" s="24"/>
      <c r="F821" s="24"/>
      <c r="G821" s="24"/>
      <c r="H821" s="24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3"/>
      <c r="B822" s="24"/>
      <c r="C822" s="24"/>
      <c r="D822" s="24"/>
      <c r="E822" s="24"/>
      <c r="F822" s="24"/>
      <c r="G822" s="24"/>
      <c r="H822" s="24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3"/>
      <c r="B823" s="24"/>
      <c r="C823" s="24"/>
      <c r="D823" s="24"/>
      <c r="E823" s="24"/>
      <c r="F823" s="24"/>
      <c r="G823" s="24"/>
      <c r="H823" s="24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3"/>
      <c r="B824" s="24"/>
      <c r="C824" s="24"/>
      <c r="D824" s="24"/>
      <c r="E824" s="24"/>
      <c r="F824" s="24"/>
      <c r="G824" s="24"/>
      <c r="H824" s="24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3"/>
      <c r="B825" s="24"/>
      <c r="C825" s="24"/>
      <c r="D825" s="24"/>
      <c r="E825" s="24"/>
      <c r="F825" s="24"/>
      <c r="G825" s="24"/>
      <c r="H825" s="24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3"/>
      <c r="B826" s="24"/>
      <c r="C826" s="24"/>
      <c r="D826" s="24"/>
      <c r="E826" s="24"/>
      <c r="F826" s="24"/>
      <c r="G826" s="24"/>
      <c r="H826" s="24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3"/>
      <c r="B827" s="24"/>
      <c r="C827" s="24"/>
      <c r="D827" s="24"/>
      <c r="E827" s="24"/>
      <c r="F827" s="24"/>
      <c r="G827" s="24"/>
      <c r="H827" s="24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3"/>
      <c r="B828" s="24"/>
      <c r="C828" s="24"/>
      <c r="D828" s="24"/>
      <c r="E828" s="24"/>
      <c r="F828" s="24"/>
      <c r="G828" s="24"/>
      <c r="H828" s="24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3"/>
      <c r="B829" s="24"/>
      <c r="C829" s="24"/>
      <c r="D829" s="24"/>
      <c r="E829" s="24"/>
      <c r="F829" s="24"/>
      <c r="G829" s="24"/>
      <c r="H829" s="24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3"/>
      <c r="B830" s="24"/>
      <c r="C830" s="24"/>
      <c r="D830" s="24"/>
      <c r="E830" s="24"/>
      <c r="F830" s="24"/>
      <c r="G830" s="24"/>
      <c r="H830" s="24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3"/>
      <c r="B831" s="24"/>
      <c r="C831" s="24"/>
      <c r="D831" s="24"/>
      <c r="E831" s="24"/>
      <c r="F831" s="24"/>
      <c r="G831" s="24"/>
      <c r="H831" s="24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3"/>
      <c r="B832" s="24"/>
      <c r="C832" s="24"/>
      <c r="D832" s="24"/>
      <c r="E832" s="24"/>
      <c r="F832" s="24"/>
      <c r="G832" s="24"/>
      <c r="H832" s="24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3"/>
      <c r="B833" s="24"/>
      <c r="C833" s="24"/>
      <c r="D833" s="24"/>
      <c r="E833" s="24"/>
      <c r="F833" s="24"/>
      <c r="G833" s="24"/>
      <c r="H833" s="24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3"/>
      <c r="B834" s="24"/>
      <c r="C834" s="24"/>
      <c r="D834" s="24"/>
      <c r="E834" s="24"/>
      <c r="F834" s="24"/>
      <c r="G834" s="24"/>
      <c r="H834" s="24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3"/>
      <c r="B835" s="24"/>
      <c r="C835" s="24"/>
      <c r="D835" s="24"/>
      <c r="E835" s="24"/>
      <c r="F835" s="24"/>
      <c r="G835" s="24"/>
      <c r="H835" s="24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3"/>
      <c r="B836" s="24"/>
      <c r="C836" s="24"/>
      <c r="D836" s="24"/>
      <c r="E836" s="24"/>
      <c r="F836" s="24"/>
      <c r="G836" s="24"/>
      <c r="H836" s="24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3"/>
      <c r="B837" s="24"/>
      <c r="C837" s="24"/>
      <c r="D837" s="24"/>
      <c r="E837" s="24"/>
      <c r="F837" s="24"/>
      <c r="G837" s="24"/>
      <c r="H837" s="24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3"/>
      <c r="B838" s="24"/>
      <c r="C838" s="24"/>
      <c r="D838" s="24"/>
      <c r="E838" s="24"/>
      <c r="F838" s="24"/>
      <c r="G838" s="24"/>
      <c r="H838" s="24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3"/>
      <c r="B839" s="24"/>
      <c r="C839" s="24"/>
      <c r="D839" s="24"/>
      <c r="E839" s="24"/>
      <c r="F839" s="24"/>
      <c r="G839" s="24"/>
      <c r="H839" s="24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3"/>
      <c r="B840" s="24"/>
      <c r="C840" s="24"/>
      <c r="D840" s="24"/>
      <c r="E840" s="24"/>
      <c r="F840" s="24"/>
      <c r="G840" s="24"/>
      <c r="H840" s="24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3"/>
      <c r="B841" s="24"/>
      <c r="C841" s="24"/>
      <c r="D841" s="24"/>
      <c r="E841" s="24"/>
      <c r="F841" s="24"/>
      <c r="G841" s="24"/>
      <c r="H841" s="24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3"/>
      <c r="B842" s="24"/>
      <c r="C842" s="24"/>
      <c r="D842" s="24"/>
      <c r="E842" s="24"/>
      <c r="F842" s="24"/>
      <c r="G842" s="24"/>
      <c r="H842" s="24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3"/>
      <c r="B843" s="24"/>
      <c r="C843" s="24"/>
      <c r="D843" s="24"/>
      <c r="E843" s="24"/>
      <c r="F843" s="24"/>
      <c r="G843" s="24"/>
      <c r="H843" s="24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3"/>
      <c r="B844" s="24"/>
      <c r="C844" s="24"/>
      <c r="D844" s="24"/>
      <c r="E844" s="24"/>
      <c r="F844" s="24"/>
      <c r="G844" s="24"/>
      <c r="H844" s="24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3"/>
      <c r="B845" s="24"/>
      <c r="C845" s="24"/>
      <c r="D845" s="24"/>
      <c r="E845" s="24"/>
      <c r="F845" s="24"/>
      <c r="G845" s="24"/>
      <c r="H845" s="24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3"/>
      <c r="B846" s="24"/>
      <c r="C846" s="24"/>
      <c r="D846" s="24"/>
      <c r="E846" s="24"/>
      <c r="F846" s="24"/>
      <c r="G846" s="24"/>
      <c r="H846" s="24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3"/>
      <c r="B847" s="24"/>
      <c r="C847" s="24"/>
      <c r="D847" s="24"/>
      <c r="E847" s="24"/>
      <c r="F847" s="24"/>
      <c r="G847" s="24"/>
      <c r="H847" s="24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3"/>
      <c r="B848" s="24"/>
      <c r="C848" s="24"/>
      <c r="D848" s="24"/>
      <c r="E848" s="24"/>
      <c r="F848" s="24"/>
      <c r="G848" s="24"/>
      <c r="H848" s="24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3"/>
      <c r="B849" s="24"/>
      <c r="C849" s="24"/>
      <c r="D849" s="24"/>
      <c r="E849" s="24"/>
      <c r="F849" s="24"/>
      <c r="G849" s="24"/>
      <c r="H849" s="24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3"/>
      <c r="B850" s="24"/>
      <c r="C850" s="24"/>
      <c r="D850" s="24"/>
      <c r="E850" s="24"/>
      <c r="F850" s="24"/>
      <c r="G850" s="24"/>
      <c r="H850" s="24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3"/>
      <c r="B851" s="24"/>
      <c r="C851" s="24"/>
      <c r="D851" s="24"/>
      <c r="E851" s="24"/>
      <c r="F851" s="24"/>
      <c r="G851" s="24"/>
      <c r="H851" s="24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3"/>
      <c r="B852" s="24"/>
      <c r="C852" s="24"/>
      <c r="D852" s="24"/>
      <c r="E852" s="24"/>
      <c r="F852" s="24"/>
      <c r="G852" s="24"/>
      <c r="H852" s="24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3"/>
      <c r="B853" s="24"/>
      <c r="C853" s="24"/>
      <c r="D853" s="24"/>
      <c r="E853" s="24"/>
      <c r="F853" s="24"/>
      <c r="G853" s="24"/>
      <c r="H853" s="24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3"/>
      <c r="B854" s="24"/>
      <c r="C854" s="24"/>
      <c r="D854" s="24"/>
      <c r="E854" s="24"/>
      <c r="F854" s="24"/>
      <c r="G854" s="24"/>
      <c r="H854" s="24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3"/>
      <c r="B855" s="24"/>
      <c r="C855" s="24"/>
      <c r="D855" s="24"/>
      <c r="E855" s="24"/>
      <c r="F855" s="24"/>
      <c r="G855" s="24"/>
      <c r="H855" s="24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3"/>
      <c r="B856" s="24"/>
      <c r="C856" s="24"/>
      <c r="D856" s="24"/>
      <c r="E856" s="24"/>
      <c r="F856" s="24"/>
      <c r="G856" s="24"/>
      <c r="H856" s="24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3"/>
      <c r="B857" s="24"/>
      <c r="C857" s="24"/>
      <c r="D857" s="24"/>
      <c r="E857" s="24"/>
      <c r="F857" s="24"/>
      <c r="G857" s="24"/>
      <c r="H857" s="24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3"/>
      <c r="B858" s="24"/>
      <c r="C858" s="24"/>
      <c r="D858" s="24"/>
      <c r="E858" s="24"/>
      <c r="F858" s="24"/>
      <c r="G858" s="24"/>
      <c r="H858" s="24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3"/>
      <c r="B859" s="24"/>
      <c r="C859" s="24"/>
      <c r="D859" s="24"/>
      <c r="E859" s="24"/>
      <c r="F859" s="24"/>
      <c r="G859" s="24"/>
      <c r="H859" s="24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3"/>
      <c r="B860" s="24"/>
      <c r="C860" s="24"/>
      <c r="D860" s="24"/>
      <c r="E860" s="24"/>
      <c r="F860" s="24"/>
      <c r="G860" s="24"/>
      <c r="H860" s="24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3"/>
      <c r="B861" s="24"/>
      <c r="C861" s="24"/>
      <c r="D861" s="24"/>
      <c r="E861" s="24"/>
      <c r="F861" s="24"/>
      <c r="G861" s="24"/>
      <c r="H861" s="24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3"/>
      <c r="B862" s="24"/>
      <c r="C862" s="24"/>
      <c r="D862" s="24"/>
      <c r="E862" s="24"/>
      <c r="F862" s="24"/>
      <c r="G862" s="24"/>
      <c r="H862" s="24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3"/>
      <c r="B863" s="24"/>
      <c r="C863" s="24"/>
      <c r="D863" s="24"/>
      <c r="E863" s="24"/>
      <c r="F863" s="24"/>
      <c r="G863" s="24"/>
      <c r="H863" s="24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3"/>
      <c r="B864" s="24"/>
      <c r="C864" s="24"/>
      <c r="D864" s="24"/>
      <c r="E864" s="24"/>
      <c r="F864" s="24"/>
      <c r="G864" s="24"/>
      <c r="H864" s="24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3"/>
      <c r="B865" s="24"/>
      <c r="C865" s="24"/>
      <c r="D865" s="24"/>
      <c r="E865" s="24"/>
      <c r="F865" s="24"/>
      <c r="G865" s="24"/>
      <c r="H865" s="24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3"/>
      <c r="B866" s="24"/>
      <c r="C866" s="24"/>
      <c r="D866" s="24"/>
      <c r="E866" s="24"/>
      <c r="F866" s="24"/>
      <c r="G866" s="24"/>
      <c r="H866" s="24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3"/>
      <c r="B867" s="24"/>
      <c r="C867" s="24"/>
      <c r="D867" s="24"/>
      <c r="E867" s="24"/>
      <c r="F867" s="24"/>
      <c r="G867" s="24"/>
      <c r="H867" s="24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3"/>
      <c r="B868" s="24"/>
      <c r="C868" s="24"/>
      <c r="D868" s="24"/>
      <c r="E868" s="24"/>
      <c r="F868" s="24"/>
      <c r="G868" s="24"/>
      <c r="H868" s="24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3"/>
      <c r="B869" s="24"/>
      <c r="C869" s="24"/>
      <c r="D869" s="24"/>
      <c r="E869" s="24"/>
      <c r="F869" s="24"/>
      <c r="G869" s="24"/>
      <c r="H869" s="24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3"/>
      <c r="B870" s="24"/>
      <c r="C870" s="24"/>
      <c r="D870" s="24"/>
      <c r="E870" s="24"/>
      <c r="F870" s="24"/>
      <c r="G870" s="24"/>
      <c r="H870" s="24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3"/>
      <c r="B871" s="24"/>
      <c r="C871" s="24"/>
      <c r="D871" s="24"/>
      <c r="E871" s="24"/>
      <c r="F871" s="24"/>
      <c r="G871" s="24"/>
      <c r="H871" s="24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3"/>
      <c r="B872" s="24"/>
      <c r="C872" s="24"/>
      <c r="D872" s="24"/>
      <c r="E872" s="24"/>
      <c r="F872" s="24"/>
      <c r="G872" s="24"/>
      <c r="H872" s="24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3"/>
      <c r="B873" s="24"/>
      <c r="C873" s="24"/>
      <c r="D873" s="24"/>
      <c r="E873" s="24"/>
      <c r="F873" s="24"/>
      <c r="G873" s="24"/>
      <c r="H873" s="24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3"/>
      <c r="B874" s="24"/>
      <c r="C874" s="24"/>
      <c r="D874" s="24"/>
      <c r="E874" s="24"/>
      <c r="F874" s="24"/>
      <c r="G874" s="24"/>
      <c r="H874" s="24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3"/>
      <c r="B875" s="24"/>
      <c r="C875" s="24"/>
      <c r="D875" s="24"/>
      <c r="E875" s="24"/>
      <c r="F875" s="24"/>
      <c r="G875" s="24"/>
      <c r="H875" s="24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3"/>
      <c r="B876" s="24"/>
      <c r="C876" s="24"/>
      <c r="D876" s="24"/>
      <c r="E876" s="24"/>
      <c r="F876" s="24"/>
      <c r="G876" s="24"/>
      <c r="H876" s="24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3"/>
      <c r="B877" s="24"/>
      <c r="C877" s="24"/>
      <c r="D877" s="24"/>
      <c r="E877" s="24"/>
      <c r="F877" s="24"/>
      <c r="G877" s="24"/>
      <c r="H877" s="24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3"/>
      <c r="B878" s="24"/>
      <c r="C878" s="24"/>
      <c r="D878" s="24"/>
      <c r="E878" s="24"/>
      <c r="F878" s="24"/>
      <c r="G878" s="24"/>
      <c r="H878" s="24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3"/>
      <c r="B879" s="24"/>
      <c r="C879" s="24"/>
      <c r="D879" s="24"/>
      <c r="E879" s="24"/>
      <c r="F879" s="24"/>
      <c r="G879" s="24"/>
      <c r="H879" s="24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3"/>
      <c r="B880" s="24"/>
      <c r="C880" s="24"/>
      <c r="D880" s="24"/>
      <c r="E880" s="24"/>
      <c r="F880" s="24"/>
      <c r="G880" s="24"/>
      <c r="H880" s="24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3"/>
      <c r="B881" s="24"/>
      <c r="C881" s="24"/>
      <c r="D881" s="24"/>
      <c r="E881" s="24"/>
      <c r="F881" s="24"/>
      <c r="G881" s="24"/>
      <c r="H881" s="24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3"/>
      <c r="B882" s="24"/>
      <c r="C882" s="24"/>
      <c r="D882" s="24"/>
      <c r="E882" s="24"/>
      <c r="F882" s="24"/>
      <c r="G882" s="24"/>
      <c r="H882" s="24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3"/>
      <c r="B883" s="24"/>
      <c r="C883" s="24"/>
      <c r="D883" s="24"/>
      <c r="E883" s="24"/>
      <c r="F883" s="24"/>
      <c r="G883" s="24"/>
      <c r="H883" s="24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3"/>
      <c r="B884" s="24"/>
      <c r="C884" s="24"/>
      <c r="D884" s="24"/>
      <c r="E884" s="24"/>
      <c r="F884" s="24"/>
      <c r="G884" s="24"/>
      <c r="H884" s="24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3"/>
      <c r="B885" s="24"/>
      <c r="C885" s="24"/>
      <c r="D885" s="24"/>
      <c r="E885" s="24"/>
      <c r="F885" s="24"/>
      <c r="G885" s="24"/>
      <c r="H885" s="24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3"/>
      <c r="B886" s="24"/>
      <c r="C886" s="24"/>
      <c r="D886" s="24"/>
      <c r="E886" s="24"/>
      <c r="F886" s="24"/>
      <c r="G886" s="24"/>
      <c r="H886" s="24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3"/>
      <c r="B887" s="24"/>
      <c r="C887" s="24"/>
      <c r="D887" s="24"/>
      <c r="E887" s="24"/>
      <c r="F887" s="24"/>
      <c r="G887" s="24"/>
      <c r="H887" s="24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3"/>
      <c r="B888" s="24"/>
      <c r="C888" s="24"/>
      <c r="D888" s="24"/>
      <c r="E888" s="24"/>
      <c r="F888" s="24"/>
      <c r="G888" s="24"/>
      <c r="H888" s="24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3"/>
      <c r="B889" s="24"/>
      <c r="C889" s="24"/>
      <c r="D889" s="24"/>
      <c r="E889" s="24"/>
      <c r="F889" s="24"/>
      <c r="G889" s="24"/>
      <c r="H889" s="24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3"/>
      <c r="B890" s="24"/>
      <c r="C890" s="24"/>
      <c r="D890" s="24"/>
      <c r="E890" s="24"/>
      <c r="F890" s="24"/>
      <c r="G890" s="24"/>
      <c r="H890" s="24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3"/>
      <c r="B891" s="24"/>
      <c r="C891" s="24"/>
      <c r="D891" s="24"/>
      <c r="E891" s="24"/>
      <c r="F891" s="24"/>
      <c r="G891" s="24"/>
      <c r="H891" s="24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3"/>
      <c r="B892" s="24"/>
      <c r="C892" s="24"/>
      <c r="D892" s="24"/>
      <c r="E892" s="24"/>
      <c r="F892" s="24"/>
      <c r="G892" s="24"/>
      <c r="H892" s="24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3"/>
      <c r="B893" s="24"/>
      <c r="C893" s="24"/>
      <c r="D893" s="24"/>
      <c r="E893" s="24"/>
      <c r="F893" s="24"/>
      <c r="G893" s="24"/>
      <c r="H893" s="24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3"/>
      <c r="B894" s="24"/>
      <c r="C894" s="24"/>
      <c r="D894" s="24"/>
      <c r="E894" s="24"/>
      <c r="F894" s="24"/>
      <c r="G894" s="24"/>
      <c r="H894" s="24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3"/>
      <c r="B895" s="24"/>
      <c r="C895" s="24"/>
      <c r="D895" s="24"/>
      <c r="E895" s="24"/>
      <c r="F895" s="24"/>
      <c r="G895" s="24"/>
      <c r="H895" s="24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3"/>
      <c r="B896" s="24"/>
      <c r="C896" s="24"/>
      <c r="D896" s="24"/>
      <c r="E896" s="24"/>
      <c r="F896" s="24"/>
      <c r="G896" s="24"/>
      <c r="H896" s="24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3"/>
      <c r="B897" s="24"/>
      <c r="C897" s="24"/>
      <c r="D897" s="24"/>
      <c r="E897" s="24"/>
      <c r="F897" s="24"/>
      <c r="G897" s="24"/>
      <c r="H897" s="24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3"/>
      <c r="B898" s="24"/>
      <c r="C898" s="24"/>
      <c r="D898" s="24"/>
      <c r="E898" s="24"/>
      <c r="F898" s="24"/>
      <c r="G898" s="24"/>
      <c r="H898" s="24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3"/>
      <c r="B899" s="24"/>
      <c r="C899" s="24"/>
      <c r="D899" s="24"/>
      <c r="E899" s="24"/>
      <c r="F899" s="24"/>
      <c r="G899" s="24"/>
      <c r="H899" s="24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3"/>
      <c r="B900" s="24"/>
      <c r="C900" s="24"/>
      <c r="D900" s="24"/>
      <c r="E900" s="24"/>
      <c r="F900" s="24"/>
      <c r="G900" s="24"/>
      <c r="H900" s="24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3"/>
      <c r="B901" s="24"/>
      <c r="C901" s="24"/>
      <c r="D901" s="24"/>
      <c r="E901" s="24"/>
      <c r="F901" s="24"/>
      <c r="G901" s="24"/>
      <c r="H901" s="24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3"/>
      <c r="B902" s="24"/>
      <c r="C902" s="24"/>
      <c r="D902" s="24"/>
      <c r="E902" s="24"/>
      <c r="F902" s="24"/>
      <c r="G902" s="24"/>
      <c r="H902" s="24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3"/>
      <c r="B903" s="24"/>
      <c r="C903" s="24"/>
      <c r="D903" s="24"/>
      <c r="E903" s="24"/>
      <c r="F903" s="24"/>
      <c r="G903" s="24"/>
      <c r="H903" s="24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3"/>
      <c r="B904" s="24"/>
      <c r="C904" s="24"/>
      <c r="D904" s="24"/>
      <c r="E904" s="24"/>
      <c r="F904" s="24"/>
      <c r="G904" s="24"/>
      <c r="H904" s="24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3"/>
      <c r="B905" s="24"/>
      <c r="C905" s="24"/>
      <c r="D905" s="24"/>
      <c r="E905" s="24"/>
      <c r="F905" s="24"/>
      <c r="G905" s="24"/>
      <c r="H905" s="24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3"/>
      <c r="B906" s="24"/>
      <c r="C906" s="24"/>
      <c r="D906" s="24"/>
      <c r="E906" s="24"/>
      <c r="F906" s="24"/>
      <c r="G906" s="24"/>
      <c r="H906" s="24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3"/>
      <c r="B907" s="24"/>
      <c r="C907" s="24"/>
      <c r="D907" s="24"/>
      <c r="E907" s="24"/>
      <c r="F907" s="24"/>
      <c r="G907" s="24"/>
      <c r="H907" s="24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3"/>
      <c r="B908" s="24"/>
      <c r="C908" s="24"/>
      <c r="D908" s="24"/>
      <c r="E908" s="24"/>
      <c r="F908" s="24"/>
      <c r="G908" s="24"/>
      <c r="H908" s="24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3"/>
      <c r="B909" s="24"/>
      <c r="C909" s="24"/>
      <c r="D909" s="24"/>
      <c r="E909" s="24"/>
      <c r="F909" s="24"/>
      <c r="G909" s="24"/>
      <c r="H909" s="24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3"/>
      <c r="B910" s="24"/>
      <c r="C910" s="24"/>
      <c r="D910" s="24"/>
      <c r="E910" s="24"/>
      <c r="F910" s="24"/>
      <c r="G910" s="24"/>
      <c r="H910" s="24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3"/>
      <c r="B911" s="24"/>
      <c r="C911" s="24"/>
      <c r="D911" s="24"/>
      <c r="E911" s="24"/>
      <c r="F911" s="24"/>
      <c r="G911" s="24"/>
      <c r="H911" s="24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3"/>
      <c r="B912" s="24"/>
      <c r="C912" s="24"/>
      <c r="D912" s="24"/>
      <c r="E912" s="24"/>
      <c r="F912" s="24"/>
      <c r="G912" s="24"/>
      <c r="H912" s="24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3"/>
      <c r="B913" s="24"/>
      <c r="C913" s="24"/>
      <c r="D913" s="24"/>
      <c r="E913" s="24"/>
      <c r="F913" s="24"/>
      <c r="G913" s="24"/>
      <c r="H913" s="24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3"/>
      <c r="B914" s="24"/>
      <c r="C914" s="24"/>
      <c r="D914" s="24"/>
      <c r="E914" s="24"/>
      <c r="F914" s="24"/>
      <c r="G914" s="24"/>
      <c r="H914" s="24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3"/>
      <c r="B915" s="24"/>
      <c r="C915" s="24"/>
      <c r="D915" s="24"/>
      <c r="E915" s="24"/>
      <c r="F915" s="24"/>
      <c r="G915" s="24"/>
      <c r="H915" s="24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3"/>
      <c r="B916" s="24"/>
      <c r="C916" s="24"/>
      <c r="D916" s="24"/>
      <c r="E916" s="24"/>
      <c r="F916" s="24"/>
      <c r="G916" s="24"/>
      <c r="H916" s="24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3"/>
      <c r="B917" s="24"/>
      <c r="C917" s="24"/>
      <c r="D917" s="24"/>
      <c r="E917" s="24"/>
      <c r="F917" s="24"/>
      <c r="G917" s="24"/>
      <c r="H917" s="24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3"/>
      <c r="B918" s="24"/>
      <c r="C918" s="24"/>
      <c r="D918" s="24"/>
      <c r="E918" s="24"/>
      <c r="F918" s="24"/>
      <c r="G918" s="24"/>
      <c r="H918" s="24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3"/>
      <c r="B919" s="24"/>
      <c r="C919" s="24"/>
      <c r="D919" s="24"/>
      <c r="E919" s="24"/>
      <c r="F919" s="24"/>
      <c r="G919" s="24"/>
      <c r="H919" s="24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23"/>
      <c r="B920" s="24"/>
      <c r="C920" s="24"/>
      <c r="D920" s="24"/>
      <c r="E920" s="24"/>
      <c r="F920" s="24"/>
      <c r="G920" s="24"/>
      <c r="H920" s="24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23"/>
      <c r="B921" s="24"/>
      <c r="C921" s="24"/>
      <c r="D921" s="24"/>
      <c r="E921" s="24"/>
      <c r="F921" s="24"/>
      <c r="G921" s="24"/>
      <c r="H921" s="24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23"/>
      <c r="B922" s="24"/>
      <c r="C922" s="24"/>
      <c r="D922" s="24"/>
      <c r="E922" s="24"/>
      <c r="F922" s="24"/>
      <c r="G922" s="24"/>
      <c r="H922" s="24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23"/>
      <c r="B923" s="24"/>
      <c r="C923" s="24"/>
      <c r="D923" s="24"/>
      <c r="E923" s="24"/>
      <c r="F923" s="24"/>
      <c r="G923" s="24"/>
      <c r="H923" s="24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23"/>
      <c r="B924" s="24"/>
      <c r="C924" s="24"/>
      <c r="D924" s="24"/>
      <c r="E924" s="24"/>
      <c r="F924" s="24"/>
      <c r="G924" s="24"/>
      <c r="H924" s="24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23"/>
      <c r="B925" s="24"/>
      <c r="C925" s="24"/>
      <c r="D925" s="24"/>
      <c r="E925" s="24"/>
      <c r="F925" s="24"/>
      <c r="G925" s="24"/>
      <c r="H925" s="24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23"/>
      <c r="B926" s="24"/>
      <c r="C926" s="24"/>
      <c r="D926" s="24"/>
      <c r="E926" s="24"/>
      <c r="F926" s="24"/>
      <c r="G926" s="24"/>
      <c r="H926" s="24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23"/>
      <c r="B927" s="24"/>
      <c r="C927" s="24"/>
      <c r="D927" s="24"/>
      <c r="E927" s="24"/>
      <c r="F927" s="24"/>
      <c r="G927" s="24"/>
      <c r="H927" s="24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23"/>
      <c r="B928" s="24"/>
      <c r="C928" s="24"/>
      <c r="D928" s="24"/>
      <c r="E928" s="24"/>
      <c r="F928" s="24"/>
      <c r="G928" s="24"/>
      <c r="H928" s="24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23"/>
      <c r="B929" s="24"/>
      <c r="C929" s="24"/>
      <c r="D929" s="24"/>
      <c r="E929" s="24"/>
      <c r="F929" s="24"/>
      <c r="G929" s="24"/>
      <c r="H929" s="24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23"/>
      <c r="B930" s="24"/>
      <c r="C930" s="24"/>
      <c r="D930" s="24"/>
      <c r="E930" s="24"/>
      <c r="F930" s="24"/>
      <c r="G930" s="24"/>
      <c r="H930" s="24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23"/>
      <c r="B931" s="24"/>
      <c r="C931" s="24"/>
      <c r="D931" s="24"/>
      <c r="E931" s="24"/>
      <c r="F931" s="24"/>
      <c r="G931" s="24"/>
      <c r="H931" s="24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23"/>
      <c r="B932" s="24"/>
      <c r="C932" s="24"/>
      <c r="D932" s="24"/>
      <c r="E932" s="24"/>
      <c r="F932" s="24"/>
      <c r="G932" s="24"/>
      <c r="H932" s="24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23"/>
      <c r="B933" s="24"/>
      <c r="C933" s="24"/>
      <c r="D933" s="24"/>
      <c r="E933" s="24"/>
      <c r="F933" s="24"/>
      <c r="G933" s="24"/>
      <c r="H933" s="24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23"/>
      <c r="B934" s="24"/>
      <c r="C934" s="24"/>
      <c r="D934" s="24"/>
      <c r="E934" s="24"/>
      <c r="F934" s="24"/>
      <c r="G934" s="24"/>
      <c r="H934" s="24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23"/>
      <c r="B935" s="24"/>
      <c r="C935" s="24"/>
      <c r="D935" s="24"/>
      <c r="E935" s="24"/>
      <c r="F935" s="24"/>
      <c r="G935" s="24"/>
      <c r="H935" s="24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23"/>
      <c r="B936" s="24"/>
      <c r="C936" s="24"/>
      <c r="D936" s="24"/>
      <c r="E936" s="24"/>
      <c r="F936" s="24"/>
      <c r="G936" s="24"/>
      <c r="H936" s="24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23"/>
      <c r="B937" s="24"/>
      <c r="C937" s="24"/>
      <c r="D937" s="24"/>
      <c r="E937" s="24"/>
      <c r="F937" s="24"/>
      <c r="G937" s="24"/>
      <c r="H937" s="24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23"/>
      <c r="B938" s="24"/>
      <c r="C938" s="24"/>
      <c r="D938" s="24"/>
      <c r="E938" s="24"/>
      <c r="F938" s="24"/>
      <c r="G938" s="24"/>
      <c r="H938" s="24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23"/>
      <c r="B939" s="24"/>
      <c r="C939" s="24"/>
      <c r="D939" s="24"/>
      <c r="E939" s="24"/>
      <c r="F939" s="24"/>
      <c r="G939" s="24"/>
      <c r="H939" s="24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23"/>
      <c r="B940" s="24"/>
      <c r="C940" s="24"/>
      <c r="D940" s="24"/>
      <c r="E940" s="24"/>
      <c r="F940" s="24"/>
      <c r="G940" s="24"/>
      <c r="H940" s="24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23"/>
      <c r="B941" s="24"/>
      <c r="C941" s="24"/>
      <c r="D941" s="24"/>
      <c r="E941" s="24"/>
      <c r="F941" s="24"/>
      <c r="G941" s="24"/>
      <c r="H941" s="24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23"/>
      <c r="B942" s="24"/>
      <c r="C942" s="24"/>
      <c r="D942" s="24"/>
      <c r="E942" s="24"/>
      <c r="F942" s="24"/>
      <c r="G942" s="24"/>
      <c r="H942" s="24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23"/>
      <c r="B943" s="24"/>
      <c r="C943" s="24"/>
      <c r="D943" s="24"/>
      <c r="E943" s="24"/>
      <c r="F943" s="24"/>
      <c r="G943" s="24"/>
      <c r="H943" s="24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23"/>
      <c r="B944" s="24"/>
      <c r="C944" s="24"/>
      <c r="D944" s="24"/>
      <c r="E944" s="24"/>
      <c r="F944" s="24"/>
      <c r="G944" s="24"/>
      <c r="H944" s="24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23"/>
      <c r="B945" s="24"/>
      <c r="C945" s="24"/>
      <c r="D945" s="24"/>
      <c r="E945" s="24"/>
      <c r="F945" s="24"/>
      <c r="G945" s="24"/>
      <c r="H945" s="24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23"/>
      <c r="B946" s="24"/>
      <c r="C946" s="24"/>
      <c r="D946" s="24"/>
      <c r="E946" s="24"/>
      <c r="F946" s="24"/>
      <c r="G946" s="24"/>
      <c r="H946" s="24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23"/>
      <c r="B947" s="24"/>
      <c r="C947" s="24"/>
      <c r="D947" s="24"/>
      <c r="E947" s="24"/>
      <c r="F947" s="24"/>
      <c r="G947" s="24"/>
      <c r="H947" s="24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23"/>
      <c r="B948" s="24"/>
      <c r="C948" s="24"/>
      <c r="D948" s="24"/>
      <c r="E948" s="24"/>
      <c r="F948" s="24"/>
      <c r="G948" s="24"/>
      <c r="H948" s="24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23"/>
      <c r="B949" s="24"/>
      <c r="C949" s="24"/>
      <c r="D949" s="24"/>
      <c r="E949" s="24"/>
      <c r="F949" s="24"/>
      <c r="G949" s="24"/>
      <c r="H949" s="24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23"/>
      <c r="B950" s="24"/>
      <c r="C950" s="24"/>
      <c r="D950" s="24"/>
      <c r="E950" s="24"/>
      <c r="F950" s="24"/>
      <c r="G950" s="24"/>
      <c r="H950" s="24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23"/>
      <c r="B951" s="24"/>
      <c r="C951" s="24"/>
      <c r="D951" s="24"/>
      <c r="E951" s="24"/>
      <c r="F951" s="24"/>
      <c r="G951" s="24"/>
      <c r="H951" s="24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23"/>
      <c r="B952" s="24"/>
      <c r="C952" s="24"/>
      <c r="D952" s="24"/>
      <c r="E952" s="24"/>
      <c r="F952" s="24"/>
      <c r="G952" s="24"/>
      <c r="H952" s="24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23"/>
      <c r="B953" s="24"/>
      <c r="C953" s="24"/>
      <c r="D953" s="24"/>
      <c r="E953" s="24"/>
      <c r="F953" s="24"/>
      <c r="G953" s="24"/>
      <c r="H953" s="24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23"/>
      <c r="B954" s="24"/>
      <c r="C954" s="24"/>
      <c r="D954" s="24"/>
      <c r="E954" s="24"/>
      <c r="F954" s="24"/>
      <c r="G954" s="24"/>
      <c r="H954" s="24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23"/>
      <c r="B955" s="24"/>
      <c r="C955" s="24"/>
      <c r="D955" s="24"/>
      <c r="E955" s="24"/>
      <c r="F955" s="24"/>
      <c r="G955" s="24"/>
      <c r="H955" s="24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23"/>
      <c r="B956" s="24"/>
      <c r="C956" s="24"/>
      <c r="D956" s="24"/>
      <c r="E956" s="24"/>
      <c r="F956" s="24"/>
      <c r="G956" s="24"/>
      <c r="H956" s="24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23"/>
      <c r="B957" s="24"/>
      <c r="C957" s="24"/>
      <c r="D957" s="24"/>
      <c r="E957" s="24"/>
      <c r="F957" s="24"/>
      <c r="G957" s="24"/>
      <c r="H957" s="24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23"/>
      <c r="B958" s="24"/>
      <c r="C958" s="24"/>
      <c r="D958" s="24"/>
      <c r="E958" s="24"/>
      <c r="F958" s="24"/>
      <c r="G958" s="24"/>
      <c r="H958" s="24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23"/>
      <c r="B959" s="24"/>
      <c r="C959" s="24"/>
      <c r="D959" s="24"/>
      <c r="E959" s="24"/>
      <c r="F959" s="24"/>
      <c r="G959" s="24"/>
      <c r="H959" s="24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23"/>
      <c r="B960" s="24"/>
      <c r="C960" s="24"/>
      <c r="D960" s="24"/>
      <c r="E960" s="24"/>
      <c r="F960" s="24"/>
      <c r="G960" s="24"/>
      <c r="H960" s="24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23"/>
      <c r="B961" s="24"/>
      <c r="C961" s="24"/>
      <c r="D961" s="24"/>
      <c r="E961" s="24"/>
      <c r="F961" s="24"/>
      <c r="G961" s="24"/>
      <c r="H961" s="24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23"/>
      <c r="B962" s="24"/>
      <c r="C962" s="24"/>
      <c r="D962" s="24"/>
      <c r="E962" s="24"/>
      <c r="F962" s="24"/>
      <c r="G962" s="24"/>
      <c r="H962" s="24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23"/>
      <c r="B963" s="24"/>
      <c r="C963" s="24"/>
      <c r="D963" s="24"/>
      <c r="E963" s="24"/>
      <c r="F963" s="24"/>
      <c r="G963" s="24"/>
      <c r="H963" s="24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23"/>
      <c r="B964" s="24"/>
      <c r="C964" s="24"/>
      <c r="D964" s="24"/>
      <c r="E964" s="24"/>
      <c r="F964" s="24"/>
      <c r="G964" s="24"/>
      <c r="H964" s="24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23"/>
      <c r="B965" s="24"/>
      <c r="C965" s="24"/>
      <c r="D965" s="24"/>
      <c r="E965" s="24"/>
      <c r="F965" s="24"/>
      <c r="G965" s="24"/>
      <c r="H965" s="24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23"/>
      <c r="B966" s="24"/>
      <c r="C966" s="24"/>
      <c r="D966" s="24"/>
      <c r="E966" s="24"/>
      <c r="F966" s="24"/>
      <c r="G966" s="24"/>
      <c r="H966" s="24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23"/>
      <c r="B967" s="24"/>
      <c r="C967" s="24"/>
      <c r="D967" s="24"/>
      <c r="E967" s="24"/>
      <c r="F967" s="24"/>
      <c r="G967" s="24"/>
      <c r="H967" s="24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23"/>
      <c r="B968" s="24"/>
      <c r="C968" s="24"/>
      <c r="D968" s="24"/>
      <c r="E968" s="24"/>
      <c r="F968" s="24"/>
      <c r="G968" s="24"/>
      <c r="H968" s="24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23"/>
      <c r="B969" s="24"/>
      <c r="C969" s="24"/>
      <c r="D969" s="24"/>
      <c r="E969" s="24"/>
      <c r="F969" s="24"/>
      <c r="G969" s="24"/>
      <c r="H969" s="24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23"/>
      <c r="B970" s="24"/>
      <c r="C970" s="24"/>
      <c r="D970" s="24"/>
      <c r="E970" s="24"/>
      <c r="F970" s="24"/>
      <c r="G970" s="24"/>
      <c r="H970" s="24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23"/>
      <c r="B971" s="24"/>
      <c r="C971" s="24"/>
      <c r="D971" s="24"/>
      <c r="E971" s="24"/>
      <c r="F971" s="24"/>
      <c r="G971" s="24"/>
      <c r="H971" s="24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23"/>
      <c r="B972" s="24"/>
      <c r="C972" s="24"/>
      <c r="D972" s="24"/>
      <c r="E972" s="24"/>
      <c r="F972" s="24"/>
      <c r="G972" s="24"/>
      <c r="H972" s="24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23"/>
      <c r="B973" s="24"/>
      <c r="C973" s="24"/>
      <c r="D973" s="24"/>
      <c r="E973" s="24"/>
      <c r="F973" s="24"/>
      <c r="G973" s="24"/>
      <c r="H973" s="24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23"/>
      <c r="B974" s="24"/>
      <c r="C974" s="24"/>
      <c r="D974" s="24"/>
      <c r="E974" s="24"/>
      <c r="F974" s="24"/>
      <c r="G974" s="24"/>
      <c r="H974" s="24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23"/>
      <c r="B975" s="24"/>
      <c r="C975" s="24"/>
      <c r="D975" s="24"/>
      <c r="E975" s="24"/>
      <c r="F975" s="24"/>
      <c r="G975" s="24"/>
      <c r="H975" s="24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23"/>
      <c r="B976" s="24"/>
      <c r="C976" s="24"/>
      <c r="D976" s="24"/>
      <c r="E976" s="24"/>
      <c r="F976" s="24"/>
      <c r="G976" s="24"/>
      <c r="H976" s="24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23"/>
      <c r="B977" s="24"/>
      <c r="C977" s="24"/>
      <c r="D977" s="24"/>
      <c r="E977" s="24"/>
      <c r="F977" s="24"/>
      <c r="G977" s="24"/>
      <c r="H977" s="24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23"/>
      <c r="B978" s="24"/>
      <c r="C978" s="24"/>
      <c r="D978" s="24"/>
      <c r="E978" s="24"/>
      <c r="F978" s="24"/>
      <c r="G978" s="24"/>
      <c r="H978" s="24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23"/>
      <c r="B979" s="24"/>
      <c r="C979" s="24"/>
      <c r="D979" s="24"/>
      <c r="E979" s="24"/>
      <c r="F979" s="24"/>
      <c r="G979" s="24"/>
      <c r="H979" s="24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23"/>
      <c r="B980" s="24"/>
      <c r="C980" s="24"/>
      <c r="D980" s="24"/>
      <c r="E980" s="24"/>
      <c r="F980" s="24"/>
      <c r="G980" s="24"/>
      <c r="H980" s="24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23"/>
      <c r="B981" s="24"/>
      <c r="C981" s="24"/>
      <c r="D981" s="24"/>
      <c r="E981" s="24"/>
      <c r="F981" s="24"/>
      <c r="G981" s="24"/>
      <c r="H981" s="24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23"/>
      <c r="B982" s="24"/>
      <c r="C982" s="24"/>
      <c r="D982" s="24"/>
      <c r="E982" s="24"/>
      <c r="F982" s="24"/>
      <c r="G982" s="24"/>
      <c r="H982" s="24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23"/>
      <c r="B983" s="24"/>
      <c r="C983" s="24"/>
      <c r="D983" s="24"/>
      <c r="E983" s="24"/>
      <c r="F983" s="24"/>
      <c r="G983" s="24"/>
      <c r="H983" s="24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23"/>
      <c r="B984" s="24"/>
      <c r="C984" s="24"/>
      <c r="D984" s="24"/>
      <c r="E984" s="24"/>
      <c r="F984" s="24"/>
      <c r="G984" s="24"/>
      <c r="H984" s="24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23"/>
      <c r="B985" s="24"/>
      <c r="C985" s="24"/>
      <c r="D985" s="24"/>
      <c r="E985" s="24"/>
      <c r="F985" s="24"/>
      <c r="G985" s="24"/>
      <c r="H985" s="24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23"/>
      <c r="B986" s="24"/>
      <c r="C986" s="24"/>
      <c r="D986" s="24"/>
      <c r="E986" s="24"/>
      <c r="F986" s="24"/>
      <c r="G986" s="24"/>
      <c r="H986" s="24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23"/>
      <c r="B987" s="24"/>
      <c r="C987" s="24"/>
      <c r="D987" s="24"/>
      <c r="E987" s="24"/>
      <c r="F987" s="24"/>
      <c r="G987" s="24"/>
      <c r="H987" s="24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23"/>
      <c r="B988" s="24"/>
      <c r="C988" s="24"/>
      <c r="D988" s="24"/>
      <c r="E988" s="24"/>
      <c r="F988" s="24"/>
      <c r="G988" s="24"/>
      <c r="H988" s="24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23"/>
      <c r="B989" s="24"/>
      <c r="C989" s="24"/>
      <c r="D989" s="24"/>
      <c r="E989" s="24"/>
      <c r="F989" s="24"/>
      <c r="G989" s="24"/>
      <c r="H989" s="24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23"/>
      <c r="B990" s="24"/>
      <c r="C990" s="24"/>
      <c r="D990" s="24"/>
      <c r="E990" s="24"/>
      <c r="F990" s="24"/>
      <c r="G990" s="24"/>
      <c r="H990" s="24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23"/>
      <c r="B991" s="24"/>
      <c r="C991" s="24"/>
      <c r="D991" s="24"/>
      <c r="E991" s="24"/>
      <c r="F991" s="24"/>
      <c r="G991" s="24"/>
      <c r="H991" s="24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23"/>
      <c r="B992" s="24"/>
      <c r="C992" s="24"/>
      <c r="D992" s="24"/>
      <c r="E992" s="24"/>
      <c r="F992" s="24"/>
      <c r="G992" s="24"/>
      <c r="H992" s="24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mergeCells count="4">
    <mergeCell ref="A1:I1"/>
    <mergeCell ref="A2:I2"/>
    <mergeCell ref="A15:I15"/>
    <mergeCell ref="A28:I2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4.63"/>
    <col customWidth="1" min="5" max="5" width="35.0"/>
    <col customWidth="1" min="6" max="6" width="16.75"/>
    <col customWidth="1" min="7" max="7" width="9.25"/>
    <col customWidth="1" min="12" max="12" width="15.88"/>
    <col customWidth="1" min="20" max="20" width="22.63"/>
  </cols>
  <sheetData>
    <row r="1">
      <c r="A1" s="2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7"/>
      <c r="Z1" s="7"/>
    </row>
    <row r="2">
      <c r="A2" s="12" t="s">
        <v>26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6"/>
      <c r="R2" s="13"/>
      <c r="S2" s="13"/>
      <c r="T2" s="13"/>
      <c r="U2" s="13"/>
      <c r="V2" s="13"/>
      <c r="W2" s="13"/>
      <c r="X2" s="13"/>
      <c r="Y2" s="13"/>
      <c r="Z2" s="13"/>
    </row>
    <row r="3">
      <c r="A3" s="9" t="s">
        <v>7</v>
      </c>
      <c r="B3" s="9" t="s">
        <v>8</v>
      </c>
      <c r="C3" s="9" t="s">
        <v>36</v>
      </c>
      <c r="D3" s="9" t="s">
        <v>9</v>
      </c>
      <c r="E3" s="9" t="s">
        <v>11</v>
      </c>
      <c r="F3" s="9" t="s">
        <v>6</v>
      </c>
      <c r="G3" s="14" t="s">
        <v>12</v>
      </c>
      <c r="H3" s="9" t="s">
        <v>13</v>
      </c>
      <c r="I3" s="9" t="s">
        <v>15</v>
      </c>
      <c r="J3" s="9" t="s">
        <v>40</v>
      </c>
      <c r="K3" s="9" t="s">
        <v>20</v>
      </c>
      <c r="L3" s="9" t="s">
        <v>28</v>
      </c>
      <c r="M3" s="9" t="s">
        <v>16</v>
      </c>
      <c r="N3" s="9" t="s">
        <v>18</v>
      </c>
      <c r="O3" s="9" t="s">
        <v>22</v>
      </c>
      <c r="P3" s="9" t="s">
        <v>24</v>
      </c>
      <c r="Q3" s="14" t="s">
        <v>44</v>
      </c>
      <c r="R3" s="9" t="s">
        <v>27</v>
      </c>
      <c r="S3" s="9" t="s">
        <v>47</v>
      </c>
      <c r="T3" s="14" t="s">
        <v>32</v>
      </c>
      <c r="U3" s="14" t="s">
        <v>49</v>
      </c>
      <c r="V3" s="14" t="s">
        <v>51</v>
      </c>
      <c r="W3" s="14" t="s">
        <v>53</v>
      </c>
      <c r="X3" s="9" t="s">
        <v>56</v>
      </c>
      <c r="Y3" s="21"/>
      <c r="Z3" s="21"/>
    </row>
    <row r="4">
      <c r="A4" s="17">
        <v>1.0</v>
      </c>
      <c r="B4" s="19" t="s">
        <v>59</v>
      </c>
      <c r="C4" s="19" t="s">
        <v>60</v>
      </c>
      <c r="D4" s="19" t="s">
        <v>61</v>
      </c>
      <c r="E4" s="19" t="s">
        <v>63</v>
      </c>
      <c r="F4" s="25" t="str">
        <f>IFS(OR(P4&gt;=75, ((H4&lt;&gt;J4)+(J4&lt;&gt;I4)+(I4&lt;&gt;K4))&gt;=3), "Highly Volatile",
  AND(COUNTIF(H4:K4, G4)+1&gt;=4, O4&lt;55, P4&lt;65), "Stronghold",
  AND(COUNTIF(H4:K4, G4)+1&gt;=3, O4&lt;70, P4&lt;75), "Lean",
  AND(R4&lt;&gt;G4, ((H4=R4)+(J4=R4)+(K4=R4))&gt;=2, O4&lt;60, P4&lt;70), "Opposition Lean",
  TRUE, "Battleground")</f>
        <v>Opposition Lean</v>
      </c>
      <c r="G4" s="19" t="s">
        <v>45</v>
      </c>
      <c r="H4" s="19" t="s">
        <v>53</v>
      </c>
      <c r="I4" s="19" t="s">
        <v>45</v>
      </c>
      <c r="J4" s="19" t="s">
        <v>53</v>
      </c>
      <c r="K4" s="19" t="s">
        <v>53</v>
      </c>
      <c r="L4" s="7"/>
      <c r="M4" s="19" t="s">
        <v>53</v>
      </c>
      <c r="N4" s="17">
        <v>3.61</v>
      </c>
      <c r="O4" s="17">
        <f t="array" ref="O4">_xlfn.XLOOKUP(B4, 'Assembly Competitiveness'!$B$4:$B$120,'Assembly Competitiveness'!$O$4:$O$120, "-")</f>
        <v>56.4095</v>
      </c>
      <c r="P4" s="17">
        <f t="array" ref="P4">_xlfn.XLOOKUP(B4,'Assembly Volatality'!$B$4:$B$120,'Assembly Volatality'!$L$4:$L$120, "-")</f>
        <v>53.7</v>
      </c>
      <c r="Q4" s="17">
        <f t="shared" ref="Q4:Q12" si="1">ROUND(0.45*O4+0.4*P4+0.15*IF(H4&lt;&gt;K4,100,0),1)</f>
        <v>46.9</v>
      </c>
      <c r="R4" s="19" t="s">
        <v>53</v>
      </c>
      <c r="S4" s="19" t="s">
        <v>149</v>
      </c>
      <c r="T4" s="7" t="str">
        <f t="shared" ref="T4:T5" si="2">IFS(
  AND(G4="AAP", OR(F4="Stronghold", F4="Lean")), "Defend",
  OR(
    AND(G4="AAP", OR(F4="Battleground", F4="Highly Volatile", F4="Opposition Lean")),
    AND(R4="AAP", OR(F4="Battleground", F4="Highly Volatile", F4="Opposition Lean"))
  ), "Battleground",
  OR(K4="AAP", M4="AAP", R4="AAP"), "Expand",
  TRUE, "Long Shot"
)</f>
        <v>Long Shot</v>
      </c>
      <c r="U4" s="7" t="str">
        <f t="shared" ref="U4:U120" si="3">IFS(
  AND(G4="INC", OR(F4="Stronghold", F4="Lean")), "Defend",
  OR(
    AND(G4="INC", OR(F4="Battleground", F4="Highly Volatile", F4="Opposition Lean")),
    AND(R4="INC", OR(F4="Battleground", F4="Highly Volatile", F4="Opposition Lean"))
  ), "Battleground",
  OR(K4="INC", M4="INC", R4="INC"), "Expand",
  TRUE, "Long Shot"
)</f>
        <v>Battleground</v>
      </c>
      <c r="V4" s="7" t="str">
        <f t="shared" ref="V4:V120" si="4">IFS(
  AND(G4="SAD", OR(F4="Stronghold", F4="Lean")), "Defend",
  OR(
    AND(G4="SAD", OR(F4="Battleground", F4="Highly Volatile", F4="Opposition Lean")),
    AND(R4="SAD", OR(F4="Battleground", F4="Highly Volatile", F4="Opposition Lean"))
  ), "Battleground",
  OR(K4="SAD", M4="SAD", R4="SAD"), "Expand",
  TRUE, "Long Shot"
)</f>
        <v>Long Shot</v>
      </c>
      <c r="W4" s="19" t="str">
        <f t="shared" ref="W4:W120" si="5">IFS(
  AND(G4="BJP", OR(F4="Stronghold", F4="Lean")), "Defend",
  OR(
    AND(G4="BJP", OR(F4="Battleground", F4="Highly Volatile", F4="Opposition Lean")),
    AND(R4="BJP", OR(F4="Battleground", F4="Highly Volatile", F4="Opposition Lean"))
  ), "Battleground",
  OR(K4="BJP", M4="BJP", R4="BJP"), "Expand",
  TRUE, "Long Shot"
)</f>
        <v>Battleground</v>
      </c>
      <c r="X4" s="7" t="str">
        <f t="shared" ref="X4:X120" si="6">IFS(K4="EMERGING", "YES", COUNTIFS(T4:W4, "&lt;&gt;Long Shot", T4:W4, "&lt;&gt;") &gt;= 3, "YES", TRUE, "")</f>
        <v/>
      </c>
      <c r="Y4" s="7"/>
      <c r="Z4" s="7"/>
    </row>
    <row r="5">
      <c r="A5" s="17">
        <v>2.0</v>
      </c>
      <c r="B5" s="19" t="s">
        <v>216</v>
      </c>
      <c r="C5" s="19" t="s">
        <v>60</v>
      </c>
      <c r="D5" s="19" t="s">
        <v>61</v>
      </c>
      <c r="E5" s="19" t="s">
        <v>217</v>
      </c>
      <c r="F5" s="29" t="str">
        <f t="shared" ref="F5:F120" si="7">IFS(
  OR(P5&gt;=75, ((H5&lt;&gt;J5)+(J5&lt;&gt;I5)+(I5&lt;&gt;K5))&gt;=3), "Highly Volatile",
  AND(COUNTIF(H5:K5, G5)+1&gt;=4, O5&lt;55, P5&lt;65), "Stronghold",
  AND(COUNTIF(H5:K5, G5)+1&gt;=3, O5&lt;70, P5&lt;75), "Lean",
  AND(R5&lt;&gt;G5, ((H5=R5)+(J5=R5)+(K5=R5))&gt;=2, O5&lt;60, P5&lt;70), "Opposition Lean",
  TRUE, "Battleground"
)</f>
        <v>Highly Volatile</v>
      </c>
      <c r="G5" s="19" t="s">
        <v>32</v>
      </c>
      <c r="H5" s="19" t="s">
        <v>45</v>
      </c>
      <c r="I5" s="19" t="s">
        <v>32</v>
      </c>
      <c r="J5" s="19" t="s">
        <v>53</v>
      </c>
      <c r="K5" s="19" t="s">
        <v>53</v>
      </c>
      <c r="L5" s="7"/>
      <c r="M5" s="19" t="s">
        <v>45</v>
      </c>
      <c r="N5" s="17">
        <v>0.88</v>
      </c>
      <c r="O5" s="17">
        <f t="array" ref="O5">_xlfn.XLOOKUP(B5, 'Assembly Competitiveness'!$B$4:$B$120,'Assembly Competitiveness'!$O$4:$O$120, "-")</f>
        <v>61.088</v>
      </c>
      <c r="P5" s="17">
        <f t="array" ref="P5">_xlfn.XLOOKUP(B5,'Assembly Volatality'!$B$4:$B$120,'Assembly Volatality'!$L$4:$L$120, "-")</f>
        <v>61.5</v>
      </c>
      <c r="Q5" s="17">
        <f t="shared" si="1"/>
        <v>67.1</v>
      </c>
      <c r="R5" s="19" t="s">
        <v>45</v>
      </c>
      <c r="S5" s="19" t="s">
        <v>149</v>
      </c>
      <c r="T5" s="7" t="str">
        <f t="shared" si="2"/>
        <v>Battleground</v>
      </c>
      <c r="U5" s="7" t="str">
        <f t="shared" si="3"/>
        <v>Battleground</v>
      </c>
      <c r="V5" s="7" t="str">
        <f t="shared" si="4"/>
        <v>Long Shot</v>
      </c>
      <c r="W5" s="19" t="str">
        <f t="shared" si="5"/>
        <v>Expand</v>
      </c>
      <c r="X5" s="7" t="str">
        <f t="shared" si="6"/>
        <v>YES</v>
      </c>
      <c r="Y5" s="7"/>
      <c r="Z5" s="7"/>
    </row>
    <row r="6">
      <c r="A6" s="17">
        <v>3.0</v>
      </c>
      <c r="B6" s="19" t="s">
        <v>60</v>
      </c>
      <c r="C6" s="19" t="s">
        <v>60</v>
      </c>
      <c r="D6" s="19" t="s">
        <v>61</v>
      </c>
      <c r="E6" s="19" t="s">
        <v>225</v>
      </c>
      <c r="F6" s="34" t="str">
        <f t="shared" si="7"/>
        <v>Stronghold</v>
      </c>
      <c r="G6" s="19" t="s">
        <v>53</v>
      </c>
      <c r="H6" s="19" t="s">
        <v>45</v>
      </c>
      <c r="I6" s="19" t="s">
        <v>53</v>
      </c>
      <c r="J6" s="19" t="s">
        <v>53</v>
      </c>
      <c r="K6" s="19" t="s">
        <v>53</v>
      </c>
      <c r="L6" s="7"/>
      <c r="M6" s="19" t="s">
        <v>45</v>
      </c>
      <c r="N6" s="17">
        <v>6.88</v>
      </c>
      <c r="O6" s="17">
        <f t="array" ref="O6">_xlfn.XLOOKUP(B6, 'Assembly Competitiveness'!$B$4:$B$120,'Assembly Competitiveness'!$O$4:$O$120, "-")</f>
        <v>40.672</v>
      </c>
      <c r="P6" s="17">
        <f t="array" ref="P6">_xlfn.XLOOKUP(B6,'Assembly Volatality'!$B$4:$B$120,'Assembly Volatality'!$L$4:$L$120, "-")</f>
        <v>34.97</v>
      </c>
      <c r="Q6" s="17">
        <f t="shared" si="1"/>
        <v>47.3</v>
      </c>
      <c r="R6" s="19" t="s">
        <v>45</v>
      </c>
      <c r="S6" s="7"/>
      <c r="T6" s="7" t="str">
        <f>IFS(AND(G6="AAP", OR(F6="Stronghold", F6="Lean")), "Defend",
  OR(    AND(G6="AAP", OR(F6="Battleground", F6="Highly Volatile", F6="Opposition Lean")),AND(R6="AAP", OR(F6="Battleground", F6="Highly Volatile", F6="Opposition Lean"))), "Battleground",  OR(K6="AAP", M6="AAP", R6="AAP"), "Expand",
  TRUE, "Long Shot")</f>
        <v>Long Shot</v>
      </c>
      <c r="U6" s="7" t="str">
        <f t="shared" si="3"/>
        <v>Expand</v>
      </c>
      <c r="V6" s="7" t="str">
        <f t="shared" si="4"/>
        <v>Long Shot</v>
      </c>
      <c r="W6" s="19" t="str">
        <f t="shared" si="5"/>
        <v>Defend</v>
      </c>
      <c r="X6" s="7" t="str">
        <f t="shared" si="6"/>
        <v/>
      </c>
      <c r="Y6" s="7"/>
      <c r="Z6" s="7"/>
    </row>
    <row r="7">
      <c r="A7" s="17">
        <v>4.0</v>
      </c>
      <c r="B7" s="19" t="s">
        <v>244</v>
      </c>
      <c r="C7" s="19" t="s">
        <v>244</v>
      </c>
      <c r="D7" s="19" t="s">
        <v>61</v>
      </c>
      <c r="E7" s="19" t="s">
        <v>245</v>
      </c>
      <c r="F7" s="34" t="str">
        <f t="shared" si="7"/>
        <v>Stronghold</v>
      </c>
      <c r="G7" s="19" t="s">
        <v>45</v>
      </c>
      <c r="H7" s="19" t="s">
        <v>45</v>
      </c>
      <c r="I7" s="19" t="s">
        <v>45</v>
      </c>
      <c r="J7" s="19" t="s">
        <v>53</v>
      </c>
      <c r="K7" s="19" t="s">
        <v>45</v>
      </c>
      <c r="L7" s="7"/>
      <c r="M7" s="19" t="s">
        <v>51</v>
      </c>
      <c r="N7" s="17">
        <v>5.94</v>
      </c>
      <c r="O7" s="17">
        <f t="array" ref="O7">_xlfn.XLOOKUP(B7, 'Assembly Competitiveness'!$B$4:$B$120,'Assembly Competitiveness'!$O$4:$O$120, "-")</f>
        <v>39.175</v>
      </c>
      <c r="P7" s="17">
        <f t="array" ref="P7">_xlfn.XLOOKUP(B7,'Assembly Volatality'!$B$4:$B$120,'Assembly Volatality'!$L$4:$L$120, "-")</f>
        <v>21.72</v>
      </c>
      <c r="Q7" s="17">
        <f t="shared" si="1"/>
        <v>26.3</v>
      </c>
      <c r="R7" s="19" t="s">
        <v>51</v>
      </c>
      <c r="S7" s="7"/>
      <c r="T7" s="7" t="str">
        <f t="shared" ref="T7:T120" si="8">IFS(
  AND(G7="AAP", OR(F7="Stronghold", F7="Lean")), "Defend",
  OR(
    AND(G7="AAP", OR(F7="Battleground", F7="Highly Volatile", F7="Opposition Lean")),
    AND(R7="AAP", OR(F7="Battleground", F7="Highly Volatile", F7="Opposition Lean"))
  ), "Battleground",
  OR(K7="AAP", M7="AAP", R7="AAP"), "Expand",
  TRUE, "Long Shot"
)</f>
        <v>Long Shot</v>
      </c>
      <c r="U7" s="7" t="str">
        <f t="shared" si="3"/>
        <v>Defend</v>
      </c>
      <c r="V7" s="7" t="str">
        <f t="shared" si="4"/>
        <v>Expand</v>
      </c>
      <c r="W7" s="19" t="str">
        <f t="shared" si="5"/>
        <v>Long Shot</v>
      </c>
      <c r="X7" s="7" t="str">
        <f t="shared" si="6"/>
        <v/>
      </c>
      <c r="Y7" s="7"/>
      <c r="Z7" s="7"/>
    </row>
    <row r="8">
      <c r="A8" s="17">
        <v>5.0</v>
      </c>
      <c r="B8" s="19" t="s">
        <v>249</v>
      </c>
      <c r="C8" s="19" t="s">
        <v>244</v>
      </c>
      <c r="D8" s="19" t="s">
        <v>61</v>
      </c>
      <c r="E8" s="19" t="s">
        <v>250</v>
      </c>
      <c r="F8" s="34" t="str">
        <f t="shared" si="7"/>
        <v>Stronghold</v>
      </c>
      <c r="G8" s="19" t="s">
        <v>45</v>
      </c>
      <c r="H8" s="19" t="s">
        <v>45</v>
      </c>
      <c r="I8" s="19" t="s">
        <v>45</v>
      </c>
      <c r="J8" s="19" t="s">
        <v>53</v>
      </c>
      <c r="K8" s="19" t="s">
        <v>45</v>
      </c>
      <c r="L8" s="7"/>
      <c r="M8" s="19" t="s">
        <v>32</v>
      </c>
      <c r="N8" s="17">
        <v>0.81</v>
      </c>
      <c r="O8" s="17">
        <f t="array" ref="O8">_xlfn.XLOOKUP(B8, 'Assembly Competitiveness'!$B$4:$B$120,'Assembly Competitiveness'!$O$4:$O$120, "-")</f>
        <v>52.7295</v>
      </c>
      <c r="P8" s="17">
        <f t="array" ref="P8">_xlfn.XLOOKUP(B8,'Assembly Volatality'!$B$4:$B$120,'Assembly Volatality'!$L$4:$L$120, "-")</f>
        <v>23.98</v>
      </c>
      <c r="Q8" s="17">
        <f t="shared" si="1"/>
        <v>33.3</v>
      </c>
      <c r="R8" s="19" t="s">
        <v>32</v>
      </c>
      <c r="S8" s="7"/>
      <c r="T8" s="7" t="str">
        <f t="shared" si="8"/>
        <v>Expand</v>
      </c>
      <c r="U8" s="7" t="str">
        <f t="shared" si="3"/>
        <v>Defend</v>
      </c>
      <c r="V8" s="7" t="str">
        <f t="shared" si="4"/>
        <v>Long Shot</v>
      </c>
      <c r="W8" s="19" t="str">
        <f t="shared" si="5"/>
        <v>Long Shot</v>
      </c>
      <c r="X8" s="7" t="str">
        <f t="shared" si="6"/>
        <v/>
      </c>
      <c r="Y8" s="7"/>
      <c r="Z8" s="7"/>
    </row>
    <row r="9">
      <c r="A9" s="17">
        <v>6.0</v>
      </c>
      <c r="B9" s="19" t="s">
        <v>253</v>
      </c>
      <c r="C9" s="19" t="s">
        <v>244</v>
      </c>
      <c r="D9" s="19" t="s">
        <v>61</v>
      </c>
      <c r="E9" s="19" t="s">
        <v>254</v>
      </c>
      <c r="F9" s="34" t="str">
        <f t="shared" si="7"/>
        <v>Stronghold</v>
      </c>
      <c r="G9" s="19" t="s">
        <v>45</v>
      </c>
      <c r="H9" s="19" t="s">
        <v>45</v>
      </c>
      <c r="I9" s="19" t="s">
        <v>45</v>
      </c>
      <c r="J9" s="19" t="s">
        <v>53</v>
      </c>
      <c r="K9" s="19" t="s">
        <v>45</v>
      </c>
      <c r="L9" s="7"/>
      <c r="M9" s="19" t="s">
        <v>51</v>
      </c>
      <c r="N9" s="17">
        <v>5.42</v>
      </c>
      <c r="O9" s="17">
        <f t="array" ref="O9">_xlfn.XLOOKUP(B9, 'Assembly Competitiveness'!$B$4:$B$120,'Assembly Competitiveness'!$O$4:$O$120, "-")</f>
        <v>45.255</v>
      </c>
      <c r="P9" s="17">
        <f t="array" ref="P9">_xlfn.XLOOKUP(B9,'Assembly Volatality'!$B$4:$B$120,'Assembly Volatality'!$L$4:$L$120, "-")</f>
        <v>5.61</v>
      </c>
      <c r="Q9" s="17">
        <f t="shared" si="1"/>
        <v>22.6</v>
      </c>
      <c r="R9" s="19" t="s">
        <v>51</v>
      </c>
      <c r="S9" s="7"/>
      <c r="T9" s="7" t="str">
        <f t="shared" si="8"/>
        <v>Long Shot</v>
      </c>
      <c r="U9" s="7" t="str">
        <f t="shared" si="3"/>
        <v>Defend</v>
      </c>
      <c r="V9" s="7" t="str">
        <f t="shared" si="4"/>
        <v>Expand</v>
      </c>
      <c r="W9" s="19" t="str">
        <f t="shared" si="5"/>
        <v>Long Shot</v>
      </c>
      <c r="X9" s="7" t="str">
        <f t="shared" si="6"/>
        <v/>
      </c>
      <c r="Y9" s="7"/>
      <c r="Z9" s="7"/>
    </row>
    <row r="10">
      <c r="A10" s="17">
        <v>7.0</v>
      </c>
      <c r="B10" s="19" t="s">
        <v>256</v>
      </c>
      <c r="C10" s="19" t="s">
        <v>244</v>
      </c>
      <c r="D10" s="19" t="s">
        <v>61</v>
      </c>
      <c r="E10" s="19" t="s">
        <v>258</v>
      </c>
      <c r="F10" s="29" t="str">
        <f t="shared" si="7"/>
        <v>Highly Volatile</v>
      </c>
      <c r="G10" s="19" t="s">
        <v>32</v>
      </c>
      <c r="H10" s="19" t="s">
        <v>51</v>
      </c>
      <c r="I10" s="19" t="s">
        <v>32</v>
      </c>
      <c r="J10" s="19" t="s">
        <v>53</v>
      </c>
      <c r="K10" s="19" t="s">
        <v>45</v>
      </c>
      <c r="L10" s="7"/>
      <c r="M10" s="19" t="s">
        <v>45</v>
      </c>
      <c r="N10" s="17">
        <v>22.44</v>
      </c>
      <c r="O10" s="17">
        <f t="array" ref="O10">_xlfn.XLOOKUP(B10, 'Assembly Competitiveness'!$B$4:$B$120,'Assembly Competitiveness'!$O$4:$O$120, "-")</f>
        <v>38.416</v>
      </c>
      <c r="P10" s="17">
        <f t="array" ref="P10">_xlfn.XLOOKUP(B10,'Assembly Volatality'!$B$4:$B$120,'Assembly Volatality'!$L$4:$L$120, "-")</f>
        <v>64.25</v>
      </c>
      <c r="Q10" s="17">
        <f t="shared" si="1"/>
        <v>58</v>
      </c>
      <c r="R10" s="19" t="s">
        <v>45</v>
      </c>
      <c r="S10" s="19" t="s">
        <v>149</v>
      </c>
      <c r="T10" s="7" t="str">
        <f t="shared" si="8"/>
        <v>Battleground</v>
      </c>
      <c r="U10" s="7" t="str">
        <f t="shared" si="3"/>
        <v>Battleground</v>
      </c>
      <c r="V10" s="7" t="str">
        <f t="shared" si="4"/>
        <v>Long Shot</v>
      </c>
      <c r="W10" s="19" t="str">
        <f t="shared" si="5"/>
        <v>Long Shot</v>
      </c>
      <c r="X10" s="7" t="str">
        <f t="shared" si="6"/>
        <v/>
      </c>
      <c r="Y10" s="7"/>
      <c r="Z10" s="7"/>
    </row>
    <row r="11">
      <c r="A11" s="17">
        <v>8.0</v>
      </c>
      <c r="B11" s="19" t="s">
        <v>260</v>
      </c>
      <c r="C11" s="19" t="s">
        <v>244</v>
      </c>
      <c r="D11" s="19" t="s">
        <v>61</v>
      </c>
      <c r="E11" s="19" t="s">
        <v>261</v>
      </c>
      <c r="F11" s="46" t="str">
        <f t="shared" si="7"/>
        <v>Battleground</v>
      </c>
      <c r="G11" s="19" t="s">
        <v>32</v>
      </c>
      <c r="H11" s="19" t="s">
        <v>45</v>
      </c>
      <c r="I11" s="19" t="s">
        <v>32</v>
      </c>
      <c r="J11" s="19" t="s">
        <v>45</v>
      </c>
      <c r="K11" s="19" t="s">
        <v>45</v>
      </c>
      <c r="L11" s="7"/>
      <c r="M11" s="19" t="s">
        <v>51</v>
      </c>
      <c r="N11" s="17">
        <v>13.78</v>
      </c>
      <c r="O11" s="17">
        <f t="array" ref="O11">_xlfn.XLOOKUP(B11, 'Assembly Competitiveness'!$B$4:$B$120,'Assembly Competitiveness'!$O$4:$O$120, "-")</f>
        <v>29.723</v>
      </c>
      <c r="P11" s="17">
        <f t="array" ref="P11">_xlfn.XLOOKUP(B11,'Assembly Volatality'!$B$4:$B$120,'Assembly Volatality'!$L$4:$L$120, "-")</f>
        <v>44.69</v>
      </c>
      <c r="Q11" s="17">
        <f t="shared" si="1"/>
        <v>31.3</v>
      </c>
      <c r="R11" s="19" t="s">
        <v>51</v>
      </c>
      <c r="S11" s="19" t="s">
        <v>149</v>
      </c>
      <c r="T11" s="7" t="str">
        <f t="shared" si="8"/>
        <v>Battleground</v>
      </c>
      <c r="U11" s="7" t="str">
        <f t="shared" si="3"/>
        <v>Expand</v>
      </c>
      <c r="V11" s="7" t="str">
        <f t="shared" si="4"/>
        <v>Battleground</v>
      </c>
      <c r="W11" s="19" t="str">
        <f t="shared" si="5"/>
        <v>Long Shot</v>
      </c>
      <c r="X11" s="7" t="str">
        <f t="shared" si="6"/>
        <v>YES</v>
      </c>
      <c r="Y11" s="7"/>
      <c r="Z11" s="7"/>
    </row>
    <row r="12">
      <c r="A12" s="17">
        <v>9.0</v>
      </c>
      <c r="B12" s="19" t="s">
        <v>263</v>
      </c>
      <c r="C12" s="19" t="s">
        <v>244</v>
      </c>
      <c r="D12" s="19" t="s">
        <v>61</v>
      </c>
      <c r="E12" s="19" t="s">
        <v>264</v>
      </c>
      <c r="F12" s="34" t="str">
        <f t="shared" si="7"/>
        <v>Stronghold</v>
      </c>
      <c r="G12" s="19" t="s">
        <v>45</v>
      </c>
      <c r="H12" s="19" t="s">
        <v>45</v>
      </c>
      <c r="I12" s="19" t="s">
        <v>45</v>
      </c>
      <c r="J12" s="19" t="s">
        <v>45</v>
      </c>
      <c r="K12" s="19" t="s">
        <v>45</v>
      </c>
      <c r="L12" s="7"/>
      <c r="M12" s="19" t="s">
        <v>51</v>
      </c>
      <c r="N12" s="17">
        <v>4.33</v>
      </c>
      <c r="O12" s="17">
        <f t="array" ref="O12">_xlfn.XLOOKUP(B12, 'Assembly Competitiveness'!$B$4:$B$120,'Assembly Competitiveness'!$O$4:$O$120, "-")</f>
        <v>54.7215</v>
      </c>
      <c r="P12" s="17">
        <f t="array" ref="P12">_xlfn.XLOOKUP(B12,'Assembly Volatality'!$B$4:$B$120,'Assembly Volatality'!$L$4:$L$120, "-")</f>
        <v>5.02</v>
      </c>
      <c r="Q12" s="17">
        <f t="shared" si="1"/>
        <v>26.6</v>
      </c>
      <c r="R12" s="19" t="s">
        <v>51</v>
      </c>
      <c r="S12" s="7"/>
      <c r="T12" s="7" t="str">
        <f t="shared" si="8"/>
        <v>Long Shot</v>
      </c>
      <c r="U12" s="7" t="str">
        <f t="shared" si="3"/>
        <v>Defend</v>
      </c>
      <c r="V12" s="7" t="str">
        <f t="shared" si="4"/>
        <v>Expand</v>
      </c>
      <c r="W12" s="19" t="str">
        <f t="shared" si="5"/>
        <v>Long Shot</v>
      </c>
      <c r="X12" s="7" t="str">
        <f t="shared" si="6"/>
        <v/>
      </c>
      <c r="Y12" s="7"/>
      <c r="Z12" s="7"/>
    </row>
    <row r="13">
      <c r="A13" s="17">
        <v>10.0</v>
      </c>
      <c r="B13" s="19" t="s">
        <v>252</v>
      </c>
      <c r="C13" s="19" t="s">
        <v>244</v>
      </c>
      <c r="D13" s="19" t="s">
        <v>61</v>
      </c>
      <c r="E13" s="19" t="s">
        <v>268</v>
      </c>
      <c r="F13" s="46" t="str">
        <f t="shared" si="7"/>
        <v>Battleground</v>
      </c>
      <c r="G13" s="19" t="s">
        <v>32</v>
      </c>
      <c r="H13" s="19" t="s">
        <v>45</v>
      </c>
      <c r="I13" s="19" t="s">
        <v>45</v>
      </c>
      <c r="J13" s="19" t="s">
        <v>45</v>
      </c>
      <c r="K13" s="19" t="s">
        <v>45</v>
      </c>
      <c r="L13" s="22" t="s">
        <v>269</v>
      </c>
      <c r="M13" s="19" t="s">
        <v>51</v>
      </c>
      <c r="N13" s="17">
        <v>0.33</v>
      </c>
      <c r="O13" s="17">
        <f t="array" ref="O13">_xlfn.XLOOKUP(B13, 'Assembly Competitiveness'!$B$4:$B$120,'Assembly Competitiveness'!$O$4:$O$120, "-")</f>
        <v>78.6155</v>
      </c>
      <c r="P13" s="17">
        <f t="array" ref="P13">_xlfn.XLOOKUP(B13,'Assembly Volatality'!$B$4:$B$120,'Assembly Volatality'!$L$4:$L$120, "-")</f>
        <v>28.76</v>
      </c>
      <c r="Q13" s="17">
        <f>ROUND(0.45*O13+0.4*P13+0.15*IF(H13&lt;&gt;L13,100,0),1)</f>
        <v>61.9</v>
      </c>
      <c r="R13" s="19" t="s">
        <v>45</v>
      </c>
      <c r="S13" s="7"/>
      <c r="T13" s="7" t="str">
        <f t="shared" si="8"/>
        <v>Battleground</v>
      </c>
      <c r="U13" s="7" t="str">
        <f t="shared" si="3"/>
        <v>Battleground</v>
      </c>
      <c r="V13" s="7" t="str">
        <f t="shared" si="4"/>
        <v>Expand</v>
      </c>
      <c r="W13" s="19" t="str">
        <f t="shared" si="5"/>
        <v>Long Shot</v>
      </c>
      <c r="X13" s="7" t="str">
        <f t="shared" si="6"/>
        <v>YES</v>
      </c>
      <c r="Y13" s="7"/>
      <c r="Z13" s="7"/>
    </row>
    <row r="14">
      <c r="A14" s="17">
        <v>11.0</v>
      </c>
      <c r="B14" s="19" t="s">
        <v>271</v>
      </c>
      <c r="C14" s="19" t="s">
        <v>272</v>
      </c>
      <c r="D14" s="19" t="s">
        <v>61</v>
      </c>
      <c r="E14" s="19" t="s">
        <v>273</v>
      </c>
      <c r="F14" s="47" t="str">
        <f t="shared" si="7"/>
        <v>Lean</v>
      </c>
      <c r="G14" s="19" t="s">
        <v>32</v>
      </c>
      <c r="H14" s="19" t="s">
        <v>45</v>
      </c>
      <c r="I14" s="19" t="s">
        <v>32</v>
      </c>
      <c r="J14" s="19" t="s">
        <v>45</v>
      </c>
      <c r="K14" s="19" t="s">
        <v>32</v>
      </c>
      <c r="L14" s="7"/>
      <c r="M14" s="19" t="s">
        <v>51</v>
      </c>
      <c r="N14" s="17">
        <v>6.47</v>
      </c>
      <c r="O14" s="17">
        <f t="array" ref="O14">_xlfn.XLOOKUP(B14, 'Assembly Competitiveness'!$B$4:$B$120,'Assembly Competitiveness'!$O$4:$O$120, "-")</f>
        <v>38.5665</v>
      </c>
      <c r="P14" s="17">
        <f t="array" ref="P14">_xlfn.XLOOKUP(B14,'Assembly Volatality'!$B$4:$B$120,'Assembly Volatality'!$L$4:$L$120, "-")</f>
        <v>44.06</v>
      </c>
      <c r="Q14" s="17">
        <f t="shared" ref="Q14:Q120" si="9">ROUND(0.45*O14+0.4*P14+0.15*IF(H14&lt;&gt;K14,100,0),1)</f>
        <v>50</v>
      </c>
      <c r="R14" s="19" t="s">
        <v>51</v>
      </c>
      <c r="S14" s="7"/>
      <c r="T14" s="7" t="str">
        <f t="shared" si="8"/>
        <v>Defend</v>
      </c>
      <c r="U14" s="7" t="str">
        <f t="shared" si="3"/>
        <v>Long Shot</v>
      </c>
      <c r="V14" s="7" t="str">
        <f t="shared" si="4"/>
        <v>Expand</v>
      </c>
      <c r="W14" s="19" t="str">
        <f t="shared" si="5"/>
        <v>Long Shot</v>
      </c>
      <c r="X14" s="7" t="str">
        <f t="shared" si="6"/>
        <v/>
      </c>
      <c r="Y14" s="7"/>
      <c r="Z14" s="7"/>
    </row>
    <row r="15">
      <c r="A15" s="17">
        <v>12.0</v>
      </c>
      <c r="B15" s="19" t="s">
        <v>276</v>
      </c>
      <c r="C15" s="19" t="s">
        <v>272</v>
      </c>
      <c r="D15" s="19" t="s">
        <v>61</v>
      </c>
      <c r="E15" s="19" t="s">
        <v>277</v>
      </c>
      <c r="F15" s="34" t="str">
        <f t="shared" si="7"/>
        <v>Stronghold</v>
      </c>
      <c r="G15" s="19" t="s">
        <v>45</v>
      </c>
      <c r="H15" s="19" t="s">
        <v>45</v>
      </c>
      <c r="I15" s="19" t="s">
        <v>45</v>
      </c>
      <c r="J15" s="19" t="s">
        <v>45</v>
      </c>
      <c r="K15" s="19" t="s">
        <v>45</v>
      </c>
      <c r="L15" s="7"/>
      <c r="M15" s="19" t="s">
        <v>51</v>
      </c>
      <c r="N15" s="17">
        <v>4.14</v>
      </c>
      <c r="O15" s="17">
        <f t="array" ref="O15">_xlfn.XLOOKUP(B15, 'Assembly Competitiveness'!$B$4:$B$120,'Assembly Competitiveness'!$O$4:$O$120, "-")</f>
        <v>51.407</v>
      </c>
      <c r="P15" s="17">
        <f t="array" ref="P15">_xlfn.XLOOKUP(B15,'Assembly Volatality'!$B$4:$B$120,'Assembly Volatality'!$L$4:$L$120, "-")</f>
        <v>3.92</v>
      </c>
      <c r="Q15" s="17">
        <f t="shared" si="9"/>
        <v>24.7</v>
      </c>
      <c r="R15" s="19" t="s">
        <v>51</v>
      </c>
      <c r="S15" s="7"/>
      <c r="T15" s="7" t="str">
        <f t="shared" si="8"/>
        <v>Long Shot</v>
      </c>
      <c r="U15" s="7" t="str">
        <f t="shared" si="3"/>
        <v>Defend</v>
      </c>
      <c r="V15" s="7" t="str">
        <f t="shared" si="4"/>
        <v>Expand</v>
      </c>
      <c r="W15" s="19" t="str">
        <f t="shared" si="5"/>
        <v>Long Shot</v>
      </c>
      <c r="X15" s="7" t="str">
        <f t="shared" si="6"/>
        <v/>
      </c>
      <c r="Y15" s="7"/>
      <c r="Z15" s="7"/>
    </row>
    <row r="16">
      <c r="A16" s="17">
        <v>13.0</v>
      </c>
      <c r="B16" s="19" t="s">
        <v>279</v>
      </c>
      <c r="C16" s="19" t="s">
        <v>272</v>
      </c>
      <c r="D16" s="19" t="s">
        <v>61</v>
      </c>
      <c r="E16" s="19" t="s">
        <v>280</v>
      </c>
      <c r="F16" s="34" t="str">
        <f t="shared" si="7"/>
        <v>Stronghold</v>
      </c>
      <c r="G16" s="19" t="s">
        <v>51</v>
      </c>
      <c r="H16" s="19" t="s">
        <v>51</v>
      </c>
      <c r="I16" s="19" t="s">
        <v>51</v>
      </c>
      <c r="J16" s="19" t="s">
        <v>53</v>
      </c>
      <c r="K16" s="19" t="s">
        <v>51</v>
      </c>
      <c r="L16" s="7"/>
      <c r="M16" s="19" t="s">
        <v>32</v>
      </c>
      <c r="N16" s="17">
        <v>21.48</v>
      </c>
      <c r="O16" s="17">
        <f t="array" ref="O16">_xlfn.XLOOKUP(B16, 'Assembly Competitiveness'!$B$4:$B$120,'Assembly Competitiveness'!$O$4:$O$120, "-")</f>
        <v>2.258</v>
      </c>
      <c r="P16" s="17">
        <f t="array" ref="P16">_xlfn.XLOOKUP(B16,'Assembly Volatality'!$B$4:$B$120,'Assembly Volatality'!$L$4:$L$120, "-")</f>
        <v>6.42</v>
      </c>
      <c r="Q16" s="17">
        <f t="shared" si="9"/>
        <v>3.6</v>
      </c>
      <c r="R16" s="19" t="s">
        <v>32</v>
      </c>
      <c r="S16" s="7"/>
      <c r="T16" s="7" t="str">
        <f t="shared" si="8"/>
        <v>Expand</v>
      </c>
      <c r="U16" s="7" t="str">
        <f t="shared" si="3"/>
        <v>Long Shot</v>
      </c>
      <c r="V16" s="7" t="str">
        <f t="shared" si="4"/>
        <v>Defend</v>
      </c>
      <c r="W16" s="19" t="str">
        <f t="shared" si="5"/>
        <v>Long Shot</v>
      </c>
      <c r="X16" s="7" t="str">
        <f t="shared" si="6"/>
        <v/>
      </c>
      <c r="Y16" s="7"/>
      <c r="Z16" s="7"/>
    </row>
    <row r="17">
      <c r="A17" s="17">
        <v>14.0</v>
      </c>
      <c r="B17" s="19" t="s">
        <v>282</v>
      </c>
      <c r="C17" s="19" t="s">
        <v>272</v>
      </c>
      <c r="D17" s="19" t="s">
        <v>61</v>
      </c>
      <c r="E17" s="19" t="s">
        <v>285</v>
      </c>
      <c r="F17" s="25" t="str">
        <f t="shared" si="7"/>
        <v>Opposition Lean</v>
      </c>
      <c r="G17" s="19" t="s">
        <v>32</v>
      </c>
      <c r="H17" s="19" t="s">
        <v>45</v>
      </c>
      <c r="I17" s="19" t="s">
        <v>32</v>
      </c>
      <c r="J17" s="19" t="s">
        <v>45</v>
      </c>
      <c r="K17" s="19" t="s">
        <v>287</v>
      </c>
      <c r="L17" s="7"/>
      <c r="M17" s="19" t="s">
        <v>45</v>
      </c>
      <c r="N17" s="17">
        <v>19.87</v>
      </c>
      <c r="O17" s="17">
        <f t="array" ref="O17">_xlfn.XLOOKUP(B17, 'Assembly Competitiveness'!$B$4:$B$120,'Assembly Competitiveness'!$O$4:$O$120, "-")</f>
        <v>17.5765</v>
      </c>
      <c r="P17" s="17">
        <f t="array" ref="P17">_xlfn.XLOOKUP(B17,'Assembly Volatality'!$B$4:$B$120,'Assembly Volatality'!$L$4:$L$120, "-")</f>
        <v>48.08</v>
      </c>
      <c r="Q17" s="17">
        <f t="shared" si="9"/>
        <v>42.1</v>
      </c>
      <c r="R17" s="19" t="s">
        <v>45</v>
      </c>
      <c r="S17" s="19" t="s">
        <v>149</v>
      </c>
      <c r="T17" s="7" t="str">
        <f t="shared" si="8"/>
        <v>Battleground</v>
      </c>
      <c r="U17" s="7" t="str">
        <f t="shared" si="3"/>
        <v>Battleground</v>
      </c>
      <c r="V17" s="7" t="str">
        <f t="shared" si="4"/>
        <v>Long Shot</v>
      </c>
      <c r="W17" s="19" t="str">
        <f t="shared" si="5"/>
        <v>Long Shot</v>
      </c>
      <c r="X17" s="7" t="str">
        <f t="shared" si="6"/>
        <v>YES</v>
      </c>
      <c r="Y17" s="7"/>
      <c r="Z17" s="7"/>
    </row>
    <row r="18">
      <c r="A18" s="17">
        <v>15.0</v>
      </c>
      <c r="B18" s="19" t="s">
        <v>300</v>
      </c>
      <c r="C18" s="19" t="s">
        <v>272</v>
      </c>
      <c r="D18" s="19" t="s">
        <v>61</v>
      </c>
      <c r="E18" s="19" t="s">
        <v>301</v>
      </c>
      <c r="F18" s="46" t="str">
        <f t="shared" si="7"/>
        <v>Battleground</v>
      </c>
      <c r="G18" s="19" t="s">
        <v>32</v>
      </c>
      <c r="H18" s="19" t="s">
        <v>45</v>
      </c>
      <c r="I18" s="19" t="s">
        <v>32</v>
      </c>
      <c r="J18" s="19" t="s">
        <v>45</v>
      </c>
      <c r="K18" s="19" t="s">
        <v>53</v>
      </c>
      <c r="L18" s="7"/>
      <c r="M18" s="19" t="s">
        <v>51</v>
      </c>
      <c r="N18" s="17">
        <v>23.03</v>
      </c>
      <c r="O18" s="17">
        <f t="array" ref="O18">_xlfn.XLOOKUP(B18, 'Assembly Competitiveness'!$B$4:$B$120,'Assembly Competitiveness'!$O$4:$O$120, "-")</f>
        <v>22.188</v>
      </c>
      <c r="P18" s="17">
        <f t="array" ref="P18">_xlfn.XLOOKUP(B18,'Assembly Volatality'!$B$4:$B$120,'Assembly Volatality'!$L$4:$L$120, "-")</f>
        <v>56.29</v>
      </c>
      <c r="Q18" s="17">
        <f t="shared" si="9"/>
        <v>47.5</v>
      </c>
      <c r="R18" s="19" t="s">
        <v>51</v>
      </c>
      <c r="S18" s="19" t="s">
        <v>149</v>
      </c>
      <c r="T18" s="7" t="str">
        <f t="shared" si="8"/>
        <v>Battleground</v>
      </c>
      <c r="U18" s="7" t="str">
        <f t="shared" si="3"/>
        <v>Long Shot</v>
      </c>
      <c r="V18" s="7" t="str">
        <f t="shared" si="4"/>
        <v>Battleground</v>
      </c>
      <c r="W18" s="19" t="str">
        <f t="shared" si="5"/>
        <v>Expand</v>
      </c>
      <c r="X18" s="7" t="str">
        <f t="shared" si="6"/>
        <v>YES</v>
      </c>
      <c r="Y18" s="7"/>
      <c r="Z18" s="7"/>
    </row>
    <row r="19">
      <c r="A19" s="17">
        <v>16.0</v>
      </c>
      <c r="B19" s="19" t="s">
        <v>314</v>
      </c>
      <c r="C19" s="19" t="s">
        <v>272</v>
      </c>
      <c r="D19" s="19" t="s">
        <v>61</v>
      </c>
      <c r="E19" s="19" t="s">
        <v>315</v>
      </c>
      <c r="F19" s="25" t="str">
        <f t="shared" si="7"/>
        <v>Opposition Lean</v>
      </c>
      <c r="G19" s="19" t="s">
        <v>32</v>
      </c>
      <c r="H19" s="19" t="s">
        <v>45</v>
      </c>
      <c r="I19" s="19" t="s">
        <v>32</v>
      </c>
      <c r="J19" s="19" t="s">
        <v>45</v>
      </c>
      <c r="K19" s="19" t="s">
        <v>45</v>
      </c>
      <c r="L19" s="7"/>
      <c r="M19" s="19" t="s">
        <v>45</v>
      </c>
      <c r="N19" s="17">
        <v>37.33</v>
      </c>
      <c r="O19" s="17">
        <f t="array" ref="O19">_xlfn.XLOOKUP(B19, 'Assembly Competitiveness'!$B$4:$B$120,'Assembly Competitiveness'!$O$4:$O$120, "-")</f>
        <v>14.872</v>
      </c>
      <c r="P19" s="17">
        <f t="array" ref="P19">_xlfn.XLOOKUP(B19,'Assembly Volatality'!$B$4:$B$120,'Assembly Volatality'!$L$4:$L$120, "-")</f>
        <v>56.28</v>
      </c>
      <c r="Q19" s="17">
        <f t="shared" si="9"/>
        <v>29.2</v>
      </c>
      <c r="R19" s="19" t="s">
        <v>45</v>
      </c>
      <c r="S19" s="19" t="s">
        <v>149</v>
      </c>
      <c r="T19" s="7" t="str">
        <f t="shared" si="8"/>
        <v>Battleground</v>
      </c>
      <c r="U19" s="7" t="str">
        <f t="shared" si="3"/>
        <v>Battleground</v>
      </c>
      <c r="V19" s="7" t="str">
        <f t="shared" si="4"/>
        <v>Long Shot</v>
      </c>
      <c r="W19" s="19" t="str">
        <f t="shared" si="5"/>
        <v>Long Shot</v>
      </c>
      <c r="X19" s="7" t="str">
        <f t="shared" si="6"/>
        <v/>
      </c>
      <c r="Y19" s="7"/>
      <c r="Z19" s="7"/>
    </row>
    <row r="20">
      <c r="A20" s="17">
        <v>17.0</v>
      </c>
      <c r="B20" s="19" t="s">
        <v>332</v>
      </c>
      <c r="C20" s="19" t="s">
        <v>272</v>
      </c>
      <c r="D20" s="19" t="s">
        <v>61</v>
      </c>
      <c r="E20" s="19" t="s">
        <v>334</v>
      </c>
      <c r="F20" s="25" t="str">
        <f t="shared" si="7"/>
        <v>Opposition Lean</v>
      </c>
      <c r="G20" s="19" t="s">
        <v>32</v>
      </c>
      <c r="H20" s="19" t="s">
        <v>45</v>
      </c>
      <c r="I20" s="19" t="s">
        <v>32</v>
      </c>
      <c r="J20" s="19" t="s">
        <v>45</v>
      </c>
      <c r="K20" s="19" t="s">
        <v>53</v>
      </c>
      <c r="L20" s="7"/>
      <c r="M20" s="19" t="s">
        <v>45</v>
      </c>
      <c r="N20" s="17">
        <v>16.21</v>
      </c>
      <c r="O20" s="17">
        <f t="array" ref="O20">_xlfn.XLOOKUP(B20, 'Assembly Competitiveness'!$B$4:$B$120,'Assembly Competitiveness'!$O$4:$O$120, "-")</f>
        <v>21.4515</v>
      </c>
      <c r="P20" s="17">
        <f t="array" ref="P20">_xlfn.XLOOKUP(B20,'Assembly Volatality'!$B$4:$B$120,'Assembly Volatality'!$L$4:$L$120, "-")</f>
        <v>54.11</v>
      </c>
      <c r="Q20" s="17">
        <f t="shared" si="9"/>
        <v>46.3</v>
      </c>
      <c r="R20" s="19" t="s">
        <v>45</v>
      </c>
      <c r="S20" s="19" t="s">
        <v>149</v>
      </c>
      <c r="T20" s="7" t="str">
        <f t="shared" si="8"/>
        <v>Battleground</v>
      </c>
      <c r="U20" s="7" t="str">
        <f t="shared" si="3"/>
        <v>Battleground</v>
      </c>
      <c r="V20" s="7" t="str">
        <f t="shared" si="4"/>
        <v>Long Shot</v>
      </c>
      <c r="W20" s="19" t="str">
        <f t="shared" si="5"/>
        <v>Expand</v>
      </c>
      <c r="X20" s="7" t="str">
        <f t="shared" si="6"/>
        <v>YES</v>
      </c>
      <c r="Y20" s="7"/>
      <c r="Z20" s="7"/>
    </row>
    <row r="21">
      <c r="A21" s="17">
        <v>18.0</v>
      </c>
      <c r="B21" s="19" t="s">
        <v>262</v>
      </c>
      <c r="C21" s="19" t="s">
        <v>272</v>
      </c>
      <c r="D21" s="19" t="s">
        <v>61</v>
      </c>
      <c r="E21" s="19" t="s">
        <v>356</v>
      </c>
      <c r="F21" s="25" t="str">
        <f t="shared" si="7"/>
        <v>Opposition Lean</v>
      </c>
      <c r="G21" s="19" t="s">
        <v>32</v>
      </c>
      <c r="H21" s="19" t="s">
        <v>45</v>
      </c>
      <c r="I21" s="19" t="s">
        <v>32</v>
      </c>
      <c r="J21" s="19" t="s">
        <v>45</v>
      </c>
      <c r="K21" s="19" t="s">
        <v>53</v>
      </c>
      <c r="L21" s="7"/>
      <c r="M21" s="19" t="s">
        <v>45</v>
      </c>
      <c r="N21" s="17">
        <v>6.29</v>
      </c>
      <c r="O21" s="17">
        <f t="array" ref="O21">_xlfn.XLOOKUP(B21, 'Assembly Competitiveness'!$B$4:$B$120,'Assembly Competitiveness'!$O$4:$O$120, "-")</f>
        <v>50.8475</v>
      </c>
      <c r="P21" s="17">
        <f t="array" ref="P21">_xlfn.XLOOKUP(B21,'Assembly Volatality'!$B$4:$B$120,'Assembly Volatality'!$L$4:$L$120, "-")</f>
        <v>65.35</v>
      </c>
      <c r="Q21" s="17">
        <f t="shared" si="9"/>
        <v>64</v>
      </c>
      <c r="R21" s="19" t="s">
        <v>45</v>
      </c>
      <c r="S21" s="19" t="s">
        <v>149</v>
      </c>
      <c r="T21" s="7" t="str">
        <f t="shared" si="8"/>
        <v>Battleground</v>
      </c>
      <c r="U21" s="7" t="str">
        <f t="shared" si="3"/>
        <v>Battleground</v>
      </c>
      <c r="V21" s="7" t="str">
        <f t="shared" si="4"/>
        <v>Long Shot</v>
      </c>
      <c r="W21" s="19" t="str">
        <f t="shared" si="5"/>
        <v>Expand</v>
      </c>
      <c r="X21" s="7" t="str">
        <f t="shared" si="6"/>
        <v>YES</v>
      </c>
      <c r="Y21" s="7"/>
      <c r="Z21" s="7"/>
    </row>
    <row r="22">
      <c r="A22" s="17">
        <v>19.0</v>
      </c>
      <c r="B22" s="19" t="s">
        <v>396</v>
      </c>
      <c r="C22" s="19" t="s">
        <v>272</v>
      </c>
      <c r="D22" s="19" t="s">
        <v>61</v>
      </c>
      <c r="E22" s="19" t="s">
        <v>397</v>
      </c>
      <c r="F22" s="47" t="str">
        <f t="shared" si="7"/>
        <v>Lean</v>
      </c>
      <c r="G22" s="19" t="s">
        <v>32</v>
      </c>
      <c r="H22" s="19" t="s">
        <v>45</v>
      </c>
      <c r="I22" s="19" t="s">
        <v>32</v>
      </c>
      <c r="J22" s="19" t="s">
        <v>45</v>
      </c>
      <c r="K22" s="19" t="s">
        <v>32</v>
      </c>
      <c r="L22" s="7"/>
      <c r="M22" s="19" t="s">
        <v>51</v>
      </c>
      <c r="N22" s="17">
        <v>26.13</v>
      </c>
      <c r="O22" s="17">
        <f t="array" ref="O22">_xlfn.XLOOKUP(B22, 'Assembly Competitiveness'!$B$4:$B$120,'Assembly Competitiveness'!$O$4:$O$120, "-")</f>
        <v>0.668</v>
      </c>
      <c r="P22" s="17">
        <f t="array" ref="P22">_xlfn.XLOOKUP(B22,'Assembly Volatality'!$B$4:$B$120,'Assembly Volatality'!$L$4:$L$120, "-")</f>
        <v>34.34</v>
      </c>
      <c r="Q22" s="17">
        <f t="shared" si="9"/>
        <v>29</v>
      </c>
      <c r="R22" s="19" t="s">
        <v>51</v>
      </c>
      <c r="S22" s="7"/>
      <c r="T22" s="7" t="str">
        <f t="shared" si="8"/>
        <v>Defend</v>
      </c>
      <c r="U22" s="7" t="str">
        <f t="shared" si="3"/>
        <v>Long Shot</v>
      </c>
      <c r="V22" s="7" t="str">
        <f t="shared" si="4"/>
        <v>Expand</v>
      </c>
      <c r="W22" s="19" t="str">
        <f t="shared" si="5"/>
        <v>Long Shot</v>
      </c>
      <c r="X22" s="7" t="str">
        <f t="shared" si="6"/>
        <v/>
      </c>
      <c r="Y22" s="7"/>
      <c r="Z22" s="7"/>
    </row>
    <row r="23">
      <c r="A23" s="17">
        <v>20.0</v>
      </c>
      <c r="B23" s="19" t="s">
        <v>398</v>
      </c>
      <c r="C23" s="19" t="s">
        <v>272</v>
      </c>
      <c r="D23" s="19" t="s">
        <v>61</v>
      </c>
      <c r="E23" s="19" t="s">
        <v>399</v>
      </c>
      <c r="F23" s="46" t="str">
        <f t="shared" si="7"/>
        <v>Battleground</v>
      </c>
      <c r="G23" s="19" t="s">
        <v>32</v>
      </c>
      <c r="H23" s="19" t="s">
        <v>45</v>
      </c>
      <c r="I23" s="19" t="s">
        <v>32</v>
      </c>
      <c r="J23" s="19" t="s">
        <v>45</v>
      </c>
      <c r="K23" s="19" t="s">
        <v>45</v>
      </c>
      <c r="L23" s="7"/>
      <c r="M23" s="19" t="s">
        <v>51</v>
      </c>
      <c r="N23" s="17">
        <v>15.61</v>
      </c>
      <c r="O23" s="17">
        <f t="array" ref="O23">_xlfn.XLOOKUP(B23, 'Assembly Competitiveness'!$B$4:$B$120,'Assembly Competitiveness'!$O$4:$O$120, "-")</f>
        <v>35.0615</v>
      </c>
      <c r="P23" s="17">
        <f t="array" ref="P23">_xlfn.XLOOKUP(B23,'Assembly Volatality'!$B$4:$B$120,'Assembly Volatality'!$L$4:$L$120, "-")</f>
        <v>54.91</v>
      </c>
      <c r="Q23" s="17">
        <f t="shared" si="9"/>
        <v>37.7</v>
      </c>
      <c r="R23" s="19" t="s">
        <v>51</v>
      </c>
      <c r="S23" s="19" t="s">
        <v>149</v>
      </c>
      <c r="T23" s="7" t="str">
        <f t="shared" si="8"/>
        <v>Battleground</v>
      </c>
      <c r="U23" s="7" t="str">
        <f t="shared" si="3"/>
        <v>Expand</v>
      </c>
      <c r="V23" s="7" t="str">
        <f t="shared" si="4"/>
        <v>Battleground</v>
      </c>
      <c r="W23" s="19" t="str">
        <f t="shared" si="5"/>
        <v>Long Shot</v>
      </c>
      <c r="X23" s="7" t="str">
        <f t="shared" si="6"/>
        <v>YES</v>
      </c>
      <c r="Y23" s="7"/>
      <c r="Z23" s="7"/>
    </row>
    <row r="24">
      <c r="A24" s="17">
        <v>21.0</v>
      </c>
      <c r="B24" s="19" t="s">
        <v>400</v>
      </c>
      <c r="C24" s="19" t="s">
        <v>400</v>
      </c>
      <c r="D24" s="19" t="s">
        <v>61</v>
      </c>
      <c r="E24" s="19" t="s">
        <v>401</v>
      </c>
      <c r="F24" s="46" t="str">
        <f t="shared" si="7"/>
        <v>Battleground</v>
      </c>
      <c r="G24" s="19" t="s">
        <v>32</v>
      </c>
      <c r="H24" s="19" t="s">
        <v>45</v>
      </c>
      <c r="I24" s="19" t="s">
        <v>32</v>
      </c>
      <c r="J24" s="19" t="s">
        <v>45</v>
      </c>
      <c r="K24" s="19" t="s">
        <v>287</v>
      </c>
      <c r="L24" s="22" t="s">
        <v>221</v>
      </c>
      <c r="M24" s="19" t="s">
        <v>51</v>
      </c>
      <c r="N24" s="17">
        <v>10.48</v>
      </c>
      <c r="O24" s="17">
        <f t="array" ref="O24">_xlfn.XLOOKUP(B24, 'Assembly Competitiveness'!$B$4:$B$120,'Assembly Competitiveness'!$O$4:$O$120, "-")</f>
        <v>45.068</v>
      </c>
      <c r="P24" s="17">
        <f t="array" ref="P24">_xlfn.XLOOKUP(B24,'Assembly Volatality'!$B$4:$B$120,'Assembly Volatality'!$L$4:$L$120, "-")</f>
        <v>53.93</v>
      </c>
      <c r="Q24" s="17">
        <f t="shared" si="9"/>
        <v>56.9</v>
      </c>
      <c r="R24" s="19" t="s">
        <v>51</v>
      </c>
      <c r="S24" s="19" t="s">
        <v>149</v>
      </c>
      <c r="T24" s="7" t="str">
        <f t="shared" si="8"/>
        <v>Battleground</v>
      </c>
      <c r="U24" s="7" t="str">
        <f t="shared" si="3"/>
        <v>Long Shot</v>
      </c>
      <c r="V24" s="7" t="str">
        <f t="shared" si="4"/>
        <v>Battleground</v>
      </c>
      <c r="W24" s="19" t="str">
        <f t="shared" si="5"/>
        <v>Long Shot</v>
      </c>
      <c r="X24" s="7" t="str">
        <f t="shared" si="6"/>
        <v>YES</v>
      </c>
      <c r="Y24" s="7"/>
      <c r="Z24" s="7"/>
    </row>
    <row r="25">
      <c r="A25" s="17">
        <v>22.0</v>
      </c>
      <c r="B25" s="19" t="s">
        <v>402</v>
      </c>
      <c r="C25" s="19" t="s">
        <v>400</v>
      </c>
      <c r="D25" s="19" t="s">
        <v>61</v>
      </c>
      <c r="E25" s="19" t="s">
        <v>403</v>
      </c>
      <c r="F25" s="46" t="str">
        <f t="shared" si="7"/>
        <v>Battleground</v>
      </c>
      <c r="G25" s="19" t="s">
        <v>32</v>
      </c>
      <c r="H25" s="19" t="s">
        <v>45</v>
      </c>
      <c r="I25" s="19" t="s">
        <v>32</v>
      </c>
      <c r="J25" s="19" t="s">
        <v>45</v>
      </c>
      <c r="K25" s="19" t="s">
        <v>287</v>
      </c>
      <c r="L25" s="7"/>
      <c r="M25" s="19" t="s">
        <v>51</v>
      </c>
      <c r="N25" s="17">
        <v>7.76</v>
      </c>
      <c r="O25" s="17">
        <f t="array" ref="O25">_xlfn.XLOOKUP(B25, 'Assembly Competitiveness'!$B$4:$B$120,'Assembly Competitiveness'!$O$4:$O$120, "-")</f>
        <v>46.75</v>
      </c>
      <c r="P25" s="17">
        <f t="array" ref="P25">_xlfn.XLOOKUP(B25,'Assembly Volatality'!$B$4:$B$120,'Assembly Volatality'!$L$4:$L$120, "-")</f>
        <v>50.78</v>
      </c>
      <c r="Q25" s="17">
        <f t="shared" si="9"/>
        <v>56.3</v>
      </c>
      <c r="R25" s="19" t="s">
        <v>51</v>
      </c>
      <c r="S25" s="19" t="s">
        <v>149</v>
      </c>
      <c r="T25" s="7" t="str">
        <f t="shared" si="8"/>
        <v>Battleground</v>
      </c>
      <c r="U25" s="7" t="str">
        <f t="shared" si="3"/>
        <v>Long Shot</v>
      </c>
      <c r="V25" s="7" t="str">
        <f t="shared" si="4"/>
        <v>Battleground</v>
      </c>
      <c r="W25" s="19" t="str">
        <f t="shared" si="5"/>
        <v>Long Shot</v>
      </c>
      <c r="X25" s="7" t="str">
        <f t="shared" si="6"/>
        <v>YES</v>
      </c>
      <c r="Y25" s="7"/>
      <c r="Z25" s="7"/>
    </row>
    <row r="26">
      <c r="A26" s="17">
        <v>23.0</v>
      </c>
      <c r="B26" s="19" t="s">
        <v>404</v>
      </c>
      <c r="C26" s="19" t="s">
        <v>400</v>
      </c>
      <c r="D26" s="19" t="s">
        <v>61</v>
      </c>
      <c r="E26" s="19" t="s">
        <v>405</v>
      </c>
      <c r="F26" s="46" t="str">
        <f t="shared" si="7"/>
        <v>Battleground</v>
      </c>
      <c r="G26" s="19" t="s">
        <v>32</v>
      </c>
      <c r="H26" s="19" t="s">
        <v>45</v>
      </c>
      <c r="I26" s="19" t="s">
        <v>32</v>
      </c>
      <c r="J26" s="19" t="s">
        <v>45</v>
      </c>
      <c r="K26" s="19" t="s">
        <v>287</v>
      </c>
      <c r="L26" s="7"/>
      <c r="M26" s="19" t="s">
        <v>51</v>
      </c>
      <c r="N26" s="17">
        <v>7.65</v>
      </c>
      <c r="O26" s="17">
        <f t="array" ref="O26">_xlfn.XLOOKUP(B26, 'Assembly Competitiveness'!$B$4:$B$120,'Assembly Competitiveness'!$O$4:$O$120, "-")</f>
        <v>52.6435</v>
      </c>
      <c r="P26" s="17">
        <f t="array" ref="P26">_xlfn.XLOOKUP(B26,'Assembly Volatality'!$B$4:$B$120,'Assembly Volatality'!$L$4:$L$120, "-")</f>
        <v>46.03</v>
      </c>
      <c r="Q26" s="17">
        <f t="shared" si="9"/>
        <v>57.1</v>
      </c>
      <c r="R26" s="19" t="s">
        <v>51</v>
      </c>
      <c r="S26" s="19" t="s">
        <v>149</v>
      </c>
      <c r="T26" s="7" t="str">
        <f t="shared" si="8"/>
        <v>Battleground</v>
      </c>
      <c r="U26" s="7" t="str">
        <f t="shared" si="3"/>
        <v>Long Shot</v>
      </c>
      <c r="V26" s="7" t="str">
        <f t="shared" si="4"/>
        <v>Battleground</v>
      </c>
      <c r="W26" s="19" t="str">
        <f t="shared" si="5"/>
        <v>Long Shot</v>
      </c>
      <c r="X26" s="7" t="str">
        <f t="shared" si="6"/>
        <v>YES</v>
      </c>
      <c r="Y26" s="7"/>
      <c r="Z26" s="7"/>
    </row>
    <row r="27">
      <c r="A27" s="17">
        <v>24.0</v>
      </c>
      <c r="B27" s="19" t="s">
        <v>406</v>
      </c>
      <c r="C27" s="19" t="s">
        <v>400</v>
      </c>
      <c r="D27" s="19" t="s">
        <v>61</v>
      </c>
      <c r="E27" s="19" t="s">
        <v>407</v>
      </c>
      <c r="F27" s="25" t="str">
        <f t="shared" si="7"/>
        <v>Opposition Lean</v>
      </c>
      <c r="G27" s="19" t="s">
        <v>32</v>
      </c>
      <c r="H27" s="19" t="s">
        <v>45</v>
      </c>
      <c r="I27" s="19" t="s">
        <v>32</v>
      </c>
      <c r="J27" s="19" t="s">
        <v>45</v>
      </c>
      <c r="K27" s="19" t="s">
        <v>287</v>
      </c>
      <c r="L27" s="7"/>
      <c r="M27" s="19" t="s">
        <v>45</v>
      </c>
      <c r="N27" s="17">
        <v>11.44</v>
      </c>
      <c r="O27" s="17">
        <f t="array" ref="O27">_xlfn.XLOOKUP(B27, 'Assembly Competitiveness'!$B$4:$B$120,'Assembly Competitiveness'!$O$4:$O$120, "-")</f>
        <v>37.652</v>
      </c>
      <c r="P27" s="17">
        <f t="array" ref="P27">_xlfn.XLOOKUP(B27,'Assembly Volatality'!$B$4:$B$120,'Assembly Volatality'!$L$4:$L$120, "-")</f>
        <v>43.79</v>
      </c>
      <c r="Q27" s="17">
        <f t="shared" si="9"/>
        <v>49.5</v>
      </c>
      <c r="R27" s="19" t="s">
        <v>45</v>
      </c>
      <c r="S27" s="19" t="s">
        <v>149</v>
      </c>
      <c r="T27" s="7" t="str">
        <f t="shared" si="8"/>
        <v>Battleground</v>
      </c>
      <c r="U27" s="7" t="str">
        <f t="shared" si="3"/>
        <v>Battleground</v>
      </c>
      <c r="V27" s="7" t="str">
        <f t="shared" si="4"/>
        <v>Long Shot</v>
      </c>
      <c r="W27" s="19" t="str">
        <f t="shared" si="5"/>
        <v>Long Shot</v>
      </c>
      <c r="X27" s="7" t="str">
        <f t="shared" si="6"/>
        <v>YES</v>
      </c>
      <c r="Y27" s="7"/>
      <c r="Z27" s="7"/>
    </row>
    <row r="28">
      <c r="A28" s="17">
        <v>25.0</v>
      </c>
      <c r="B28" s="19" t="s">
        <v>408</v>
      </c>
      <c r="C28" s="19" t="s">
        <v>272</v>
      </c>
      <c r="D28" s="19" t="s">
        <v>61</v>
      </c>
      <c r="E28" s="19" t="s">
        <v>409</v>
      </c>
      <c r="F28" s="25" t="str">
        <f t="shared" si="7"/>
        <v>Opposition Lean</v>
      </c>
      <c r="G28" s="19" t="s">
        <v>32</v>
      </c>
      <c r="H28" s="19" t="s">
        <v>45</v>
      </c>
      <c r="I28" s="19" t="s">
        <v>32</v>
      </c>
      <c r="J28" s="19" t="s">
        <v>45</v>
      </c>
      <c r="K28" s="19" t="s">
        <v>287</v>
      </c>
      <c r="L28" s="7"/>
      <c r="M28" s="19" t="s">
        <v>45</v>
      </c>
      <c r="N28" s="17">
        <v>15.0</v>
      </c>
      <c r="O28" s="17">
        <f t="array" ref="O28">_xlfn.XLOOKUP(B28, 'Assembly Competitiveness'!$B$4:$B$120,'Assembly Competitiveness'!$O$4:$O$120, "-")</f>
        <v>40.138</v>
      </c>
      <c r="P28" s="17">
        <f t="array" ref="P28">_xlfn.XLOOKUP(B28,'Assembly Volatality'!$B$4:$B$120,'Assembly Volatality'!$L$4:$L$120, "-")</f>
        <v>53.84</v>
      </c>
      <c r="Q28" s="17">
        <f t="shared" si="9"/>
        <v>54.6</v>
      </c>
      <c r="R28" s="19" t="s">
        <v>45</v>
      </c>
      <c r="S28" s="19" t="s">
        <v>149</v>
      </c>
      <c r="T28" s="7" t="str">
        <f t="shared" si="8"/>
        <v>Battleground</v>
      </c>
      <c r="U28" s="7" t="str">
        <f t="shared" si="3"/>
        <v>Battleground</v>
      </c>
      <c r="V28" s="7" t="str">
        <f t="shared" si="4"/>
        <v>Long Shot</v>
      </c>
      <c r="W28" s="19" t="str">
        <f t="shared" si="5"/>
        <v>Long Shot</v>
      </c>
      <c r="X28" s="7" t="str">
        <f t="shared" si="6"/>
        <v>YES</v>
      </c>
      <c r="Y28" s="7"/>
      <c r="Z28" s="7"/>
    </row>
    <row r="29">
      <c r="A29" s="17">
        <v>26.0</v>
      </c>
      <c r="B29" s="19" t="s">
        <v>410</v>
      </c>
      <c r="C29" s="19" t="s">
        <v>411</v>
      </c>
      <c r="D29" s="19" t="s">
        <v>127</v>
      </c>
      <c r="E29" s="19" t="s">
        <v>412</v>
      </c>
      <c r="F29" s="47" t="str">
        <f t="shared" si="7"/>
        <v>Lean</v>
      </c>
      <c r="G29" s="19" t="s">
        <v>45</v>
      </c>
      <c r="H29" s="19" t="s">
        <v>32</v>
      </c>
      <c r="I29" s="19" t="s">
        <v>45</v>
      </c>
      <c r="J29" s="19" t="s">
        <v>45</v>
      </c>
      <c r="K29" s="19" t="s">
        <v>32</v>
      </c>
      <c r="L29" s="7"/>
      <c r="M29" s="19" t="s">
        <v>51</v>
      </c>
      <c r="N29" s="17">
        <v>10.27</v>
      </c>
      <c r="O29" s="17">
        <f t="array" ref="O29">_xlfn.XLOOKUP(B29, 'Assembly Competitiveness'!$B$4:$B$120,'Assembly Competitiveness'!$O$4:$O$120, "-")</f>
        <v>44.2265</v>
      </c>
      <c r="P29" s="17">
        <f t="array" ref="P29">_xlfn.XLOOKUP(B29,'Assembly Volatality'!$B$4:$B$120,'Assembly Volatality'!$L$4:$L$120, "-")</f>
        <v>50.3</v>
      </c>
      <c r="Q29" s="17">
        <f t="shared" si="9"/>
        <v>40</v>
      </c>
      <c r="R29" s="19" t="s">
        <v>51</v>
      </c>
      <c r="S29" s="19" t="s">
        <v>149</v>
      </c>
      <c r="T29" s="7" t="str">
        <f t="shared" si="8"/>
        <v>Expand</v>
      </c>
      <c r="U29" s="7" t="str">
        <f t="shared" si="3"/>
        <v>Defend</v>
      </c>
      <c r="V29" s="7" t="str">
        <f t="shared" si="4"/>
        <v>Expand</v>
      </c>
      <c r="W29" s="19" t="str">
        <f t="shared" si="5"/>
        <v>Long Shot</v>
      </c>
      <c r="X29" s="7" t="str">
        <f t="shared" si="6"/>
        <v>YES</v>
      </c>
      <c r="Y29" s="7"/>
      <c r="Z29" s="7"/>
    </row>
    <row r="30">
      <c r="A30" s="17">
        <v>27.0</v>
      </c>
      <c r="B30" s="19" t="s">
        <v>411</v>
      </c>
      <c r="C30" s="19" t="s">
        <v>411</v>
      </c>
      <c r="D30" s="19" t="s">
        <v>127</v>
      </c>
      <c r="E30" s="19" t="s">
        <v>423</v>
      </c>
      <c r="F30" s="34" t="str">
        <f t="shared" si="7"/>
        <v>Stronghold</v>
      </c>
      <c r="G30" s="19" t="s">
        <v>45</v>
      </c>
      <c r="H30" s="19" t="s">
        <v>45</v>
      </c>
      <c r="I30" s="19" t="s">
        <v>45</v>
      </c>
      <c r="J30" s="19" t="s">
        <v>45</v>
      </c>
      <c r="K30" s="19" t="s">
        <v>45</v>
      </c>
      <c r="L30" s="7"/>
      <c r="M30" s="19" t="s">
        <v>32</v>
      </c>
      <c r="N30" s="17">
        <v>7.16</v>
      </c>
      <c r="O30" s="17">
        <f t="array" ref="O30">_xlfn.XLOOKUP(B30, 'Assembly Competitiveness'!$B$4:$B$120,'Assembly Competitiveness'!$O$4:$O$120, "-")</f>
        <v>37.014</v>
      </c>
      <c r="P30" s="17">
        <f t="array" ref="P30">_xlfn.XLOOKUP(B30,'Assembly Volatality'!$B$4:$B$120,'Assembly Volatality'!$L$4:$L$120, "-")</f>
        <v>26.13</v>
      </c>
      <c r="Q30" s="17">
        <f t="shared" si="9"/>
        <v>27.1</v>
      </c>
      <c r="R30" s="19" t="s">
        <v>32</v>
      </c>
      <c r="S30" s="7"/>
      <c r="T30" s="7" t="str">
        <f t="shared" si="8"/>
        <v>Expand</v>
      </c>
      <c r="U30" s="7" t="str">
        <f t="shared" si="3"/>
        <v>Defend</v>
      </c>
      <c r="V30" s="7" t="str">
        <f t="shared" si="4"/>
        <v>Long Shot</v>
      </c>
      <c r="W30" s="19" t="str">
        <f t="shared" si="5"/>
        <v>Long Shot</v>
      </c>
      <c r="X30" s="7" t="str">
        <f t="shared" si="6"/>
        <v/>
      </c>
      <c r="Y30" s="7"/>
      <c r="Z30" s="7"/>
    </row>
    <row r="31">
      <c r="A31" s="17">
        <v>28.0</v>
      </c>
      <c r="B31" s="19" t="s">
        <v>426</v>
      </c>
      <c r="C31" s="19" t="s">
        <v>411</v>
      </c>
      <c r="D31" s="19" t="s">
        <v>127</v>
      </c>
      <c r="E31" s="19" t="s">
        <v>427</v>
      </c>
      <c r="F31" s="47" t="str">
        <f t="shared" si="7"/>
        <v>Lean</v>
      </c>
      <c r="G31" s="19" t="s">
        <v>287</v>
      </c>
      <c r="H31" s="19" t="s">
        <v>45</v>
      </c>
      <c r="I31" s="19" t="s">
        <v>287</v>
      </c>
      <c r="J31" s="19" t="s">
        <v>45</v>
      </c>
      <c r="K31" s="19" t="s">
        <v>287</v>
      </c>
      <c r="L31" s="7"/>
      <c r="M31" s="19" t="s">
        <v>32</v>
      </c>
      <c r="N31" s="17">
        <v>10.65</v>
      </c>
      <c r="O31" s="17">
        <f t="array" ref="O31">_xlfn.XLOOKUP(B31, 'Assembly Competitiveness'!$B$4:$B$120,'Assembly Competitiveness'!$O$4:$O$120, "-")</f>
        <v>34.6995</v>
      </c>
      <c r="P31" s="17">
        <f t="array" ref="P31">_xlfn.XLOOKUP(B31,'Assembly Volatality'!$B$4:$B$120,'Assembly Volatality'!$L$4:$L$120, "-")</f>
        <v>36.78</v>
      </c>
      <c r="Q31" s="17">
        <f t="shared" si="9"/>
        <v>45.3</v>
      </c>
      <c r="R31" s="19" t="s">
        <v>32</v>
      </c>
      <c r="S31" s="7"/>
      <c r="T31" s="7" t="str">
        <f t="shared" si="8"/>
        <v>Expand</v>
      </c>
      <c r="U31" s="7" t="str">
        <f t="shared" si="3"/>
        <v>Long Shot</v>
      </c>
      <c r="V31" s="7" t="str">
        <f t="shared" si="4"/>
        <v>Long Shot</v>
      </c>
      <c r="W31" s="19" t="str">
        <f t="shared" si="5"/>
        <v>Long Shot</v>
      </c>
      <c r="X31" s="7" t="str">
        <f t="shared" si="6"/>
        <v>YES</v>
      </c>
      <c r="Y31" s="7"/>
      <c r="Z31" s="7"/>
    </row>
    <row r="32">
      <c r="A32" s="17">
        <v>29.0</v>
      </c>
      <c r="B32" s="19" t="s">
        <v>248</v>
      </c>
      <c r="C32" s="19" t="s">
        <v>411</v>
      </c>
      <c r="D32" s="19" t="s">
        <v>127</v>
      </c>
      <c r="E32" s="19" t="s">
        <v>430</v>
      </c>
      <c r="F32" s="46" t="str">
        <f t="shared" si="7"/>
        <v>Battleground</v>
      </c>
      <c r="G32" s="19" t="s">
        <v>45</v>
      </c>
      <c r="H32" s="19" t="s">
        <v>53</v>
      </c>
      <c r="I32" s="19" t="s">
        <v>45</v>
      </c>
      <c r="J32" s="19" t="s">
        <v>53</v>
      </c>
      <c r="K32" s="19" t="s">
        <v>32</v>
      </c>
      <c r="L32" s="7"/>
      <c r="M32" s="19" t="s">
        <v>32</v>
      </c>
      <c r="N32" s="17">
        <v>2.14</v>
      </c>
      <c r="O32" s="17">
        <f t="array" ref="O32">_xlfn.XLOOKUP(B32, 'Assembly Competitiveness'!$B$4:$B$120,'Assembly Competitiveness'!$O$4:$O$120, "-")</f>
        <v>68.857</v>
      </c>
      <c r="P32" s="17">
        <f t="array" ref="P32">_xlfn.XLOOKUP(B32,'Assembly Volatality'!$B$4:$B$120,'Assembly Volatality'!$L$4:$L$120, "-")</f>
        <v>46.49</v>
      </c>
      <c r="Q32" s="17">
        <f t="shared" si="9"/>
        <v>64.6</v>
      </c>
      <c r="R32" s="19" t="s">
        <v>32</v>
      </c>
      <c r="S32" s="19" t="s">
        <v>149</v>
      </c>
      <c r="T32" s="7" t="str">
        <f t="shared" si="8"/>
        <v>Battleground</v>
      </c>
      <c r="U32" s="7" t="str">
        <f t="shared" si="3"/>
        <v>Battleground</v>
      </c>
      <c r="V32" s="7" t="str">
        <f t="shared" si="4"/>
        <v>Long Shot</v>
      </c>
      <c r="W32" s="19" t="str">
        <f t="shared" si="5"/>
        <v>Long Shot</v>
      </c>
      <c r="X32" s="7" t="str">
        <f t="shared" si="6"/>
        <v/>
      </c>
      <c r="Y32" s="7"/>
      <c r="Z32" s="7"/>
    </row>
    <row r="33">
      <c r="A33" s="17">
        <v>30.0</v>
      </c>
      <c r="B33" s="19" t="s">
        <v>433</v>
      </c>
      <c r="C33" s="19" t="s">
        <v>436</v>
      </c>
      <c r="D33" s="19" t="s">
        <v>127</v>
      </c>
      <c r="E33" s="19" t="s">
        <v>437</v>
      </c>
      <c r="F33" s="34" t="str">
        <f t="shared" si="7"/>
        <v>Stronghold</v>
      </c>
      <c r="G33" s="19" t="s">
        <v>45</v>
      </c>
      <c r="H33" s="19" t="s">
        <v>51</v>
      </c>
      <c r="I33" s="19" t="s">
        <v>45</v>
      </c>
      <c r="J33" s="19" t="s">
        <v>45</v>
      </c>
      <c r="K33" s="19" t="s">
        <v>45</v>
      </c>
      <c r="L33" s="7"/>
      <c r="M33" s="19" t="s">
        <v>51</v>
      </c>
      <c r="N33" s="17">
        <v>8.85</v>
      </c>
      <c r="O33" s="17">
        <f t="array" ref="O33">_xlfn.XLOOKUP(B33, 'Assembly Competitiveness'!$B$4:$B$120,'Assembly Competitiveness'!$O$4:$O$120, "-")</f>
        <v>45.2955</v>
      </c>
      <c r="P33" s="17">
        <f t="array" ref="P33">_xlfn.XLOOKUP(B33,'Assembly Volatality'!$B$4:$B$120,'Assembly Volatality'!$L$4:$L$120, "-")</f>
        <v>44.25</v>
      </c>
      <c r="Q33" s="17">
        <f t="shared" si="9"/>
        <v>53.1</v>
      </c>
      <c r="R33" s="19" t="s">
        <v>51</v>
      </c>
      <c r="S33" s="7"/>
      <c r="T33" s="7" t="str">
        <f t="shared" si="8"/>
        <v>Long Shot</v>
      </c>
      <c r="U33" s="7" t="str">
        <f t="shared" si="3"/>
        <v>Defend</v>
      </c>
      <c r="V33" s="7" t="str">
        <f t="shared" si="4"/>
        <v>Expand</v>
      </c>
      <c r="W33" s="19" t="str">
        <f t="shared" si="5"/>
        <v>Long Shot</v>
      </c>
      <c r="X33" s="7" t="str">
        <f t="shared" si="6"/>
        <v/>
      </c>
      <c r="Y33" s="7"/>
      <c r="Z33" s="7"/>
    </row>
    <row r="34">
      <c r="A34" s="17">
        <v>31.0</v>
      </c>
      <c r="B34" s="19" t="s">
        <v>235</v>
      </c>
      <c r="C34" s="19" t="s">
        <v>436</v>
      </c>
      <c r="D34" s="19" t="s">
        <v>127</v>
      </c>
      <c r="E34" s="19" t="s">
        <v>442</v>
      </c>
      <c r="F34" s="46" t="str">
        <f t="shared" si="7"/>
        <v>Battleground</v>
      </c>
      <c r="G34" s="19" t="s">
        <v>32</v>
      </c>
      <c r="H34" s="19" t="s">
        <v>51</v>
      </c>
      <c r="I34" s="19" t="s">
        <v>32</v>
      </c>
      <c r="J34" s="19" t="s">
        <v>51</v>
      </c>
      <c r="K34" s="19" t="s">
        <v>45</v>
      </c>
      <c r="L34" s="7"/>
      <c r="M34" s="19" t="s">
        <v>51</v>
      </c>
      <c r="N34" s="17">
        <v>2.16</v>
      </c>
      <c r="O34" s="17">
        <f t="array" ref="O34">_xlfn.XLOOKUP(B34, 'Assembly Competitiveness'!$B$4:$B$120,'Assembly Competitiveness'!$O$4:$O$120, "-")</f>
        <v>61.512</v>
      </c>
      <c r="P34" s="17">
        <f t="array" ref="P34">_xlfn.XLOOKUP(B34,'Assembly Volatality'!$B$4:$B$120,'Assembly Volatality'!$L$4:$L$120, "-")</f>
        <v>58.83</v>
      </c>
      <c r="Q34" s="17">
        <f t="shared" si="9"/>
        <v>66.2</v>
      </c>
      <c r="R34" s="19" t="s">
        <v>51</v>
      </c>
      <c r="S34" s="19" t="s">
        <v>149</v>
      </c>
      <c r="T34" s="7" t="str">
        <f t="shared" si="8"/>
        <v>Battleground</v>
      </c>
      <c r="U34" s="7" t="str">
        <f t="shared" si="3"/>
        <v>Expand</v>
      </c>
      <c r="V34" s="7" t="str">
        <f t="shared" si="4"/>
        <v>Battleground</v>
      </c>
      <c r="W34" s="19" t="str">
        <f t="shared" si="5"/>
        <v>Long Shot</v>
      </c>
      <c r="X34" s="7" t="str">
        <f t="shared" si="6"/>
        <v>YES</v>
      </c>
      <c r="Y34" s="7"/>
      <c r="Z34" s="7"/>
    </row>
    <row r="35">
      <c r="A35" s="17">
        <v>32.0</v>
      </c>
      <c r="B35" s="19" t="s">
        <v>444</v>
      </c>
      <c r="C35" s="19" t="s">
        <v>436</v>
      </c>
      <c r="D35" s="19" t="s">
        <v>127</v>
      </c>
      <c r="E35" s="19" t="s">
        <v>445</v>
      </c>
      <c r="F35" s="34" t="str">
        <f t="shared" si="7"/>
        <v>Stronghold</v>
      </c>
      <c r="G35" s="19" t="s">
        <v>45</v>
      </c>
      <c r="H35" s="19" t="s">
        <v>51</v>
      </c>
      <c r="I35" s="19" t="s">
        <v>45</v>
      </c>
      <c r="J35" s="19" t="s">
        <v>45</v>
      </c>
      <c r="K35" s="19" t="s">
        <v>45</v>
      </c>
      <c r="L35" s="7"/>
      <c r="M35" s="19" t="s">
        <v>51</v>
      </c>
      <c r="N35" s="17">
        <v>9.18</v>
      </c>
      <c r="O35" s="17">
        <f t="array" ref="O35">_xlfn.XLOOKUP(B35, 'Assembly Competitiveness'!$B$4:$B$120,'Assembly Competitiveness'!$O$4:$O$120, "-")</f>
        <v>42.907</v>
      </c>
      <c r="P35" s="17">
        <f t="array" ref="P35">_xlfn.XLOOKUP(B35,'Assembly Volatality'!$B$4:$B$120,'Assembly Volatality'!$L$4:$L$120, "-")</f>
        <v>40.85</v>
      </c>
      <c r="Q35" s="17">
        <f t="shared" si="9"/>
        <v>50.6</v>
      </c>
      <c r="R35" s="19" t="s">
        <v>51</v>
      </c>
      <c r="S35" s="7"/>
      <c r="T35" s="7" t="str">
        <f t="shared" si="8"/>
        <v>Long Shot</v>
      </c>
      <c r="U35" s="7" t="str">
        <f t="shared" si="3"/>
        <v>Defend</v>
      </c>
      <c r="V35" s="7" t="str">
        <f t="shared" si="4"/>
        <v>Expand</v>
      </c>
      <c r="W35" s="19" t="str">
        <f t="shared" si="5"/>
        <v>Long Shot</v>
      </c>
      <c r="X35" s="7" t="str">
        <f t="shared" si="6"/>
        <v/>
      </c>
      <c r="Y35" s="7"/>
      <c r="Z35" s="7"/>
    </row>
    <row r="36">
      <c r="A36" s="17">
        <v>33.0</v>
      </c>
      <c r="B36" s="19" t="s">
        <v>267</v>
      </c>
      <c r="C36" s="19" t="s">
        <v>436</v>
      </c>
      <c r="D36" s="19" t="s">
        <v>127</v>
      </c>
      <c r="E36" s="19" t="s">
        <v>447</v>
      </c>
      <c r="F36" s="46" t="str">
        <f t="shared" si="7"/>
        <v>Battleground</v>
      </c>
      <c r="G36" s="19" t="s">
        <v>32</v>
      </c>
      <c r="H36" s="19" t="s">
        <v>45</v>
      </c>
      <c r="I36" s="19" t="s">
        <v>32</v>
      </c>
      <c r="J36" s="19" t="s">
        <v>45</v>
      </c>
      <c r="K36" s="19" t="s">
        <v>45</v>
      </c>
      <c r="L36" s="7"/>
      <c r="M36" s="19" t="s">
        <v>45</v>
      </c>
      <c r="N36" s="17">
        <v>3.69</v>
      </c>
      <c r="O36" s="17">
        <f t="array" ref="O36">_xlfn.XLOOKUP(B36, 'Assembly Competitiveness'!$B$4:$B$120,'Assembly Competitiveness'!$O$4:$O$120, "-")</f>
        <v>62.3355</v>
      </c>
      <c r="P36" s="17">
        <f t="array" ref="P36">_xlfn.XLOOKUP(B36,'Assembly Volatality'!$B$4:$B$120,'Assembly Volatality'!$L$4:$L$120, "-")</f>
        <v>46.79</v>
      </c>
      <c r="Q36" s="17">
        <f t="shared" si="9"/>
        <v>46.8</v>
      </c>
      <c r="R36" s="19" t="s">
        <v>45</v>
      </c>
      <c r="S36" s="19" t="s">
        <v>149</v>
      </c>
      <c r="T36" s="7" t="str">
        <f t="shared" si="8"/>
        <v>Battleground</v>
      </c>
      <c r="U36" s="7" t="str">
        <f t="shared" si="3"/>
        <v>Battleground</v>
      </c>
      <c r="V36" s="7" t="str">
        <f t="shared" si="4"/>
        <v>Long Shot</v>
      </c>
      <c r="W36" s="19" t="str">
        <f t="shared" si="5"/>
        <v>Long Shot</v>
      </c>
      <c r="X36" s="7" t="str">
        <f t="shared" si="6"/>
        <v/>
      </c>
      <c r="Y36" s="7"/>
      <c r="Z36" s="7"/>
    </row>
    <row r="37">
      <c r="A37" s="17">
        <v>34.0</v>
      </c>
      <c r="B37" s="19" t="s">
        <v>274</v>
      </c>
      <c r="C37" s="19" t="s">
        <v>436</v>
      </c>
      <c r="D37" s="19" t="s">
        <v>127</v>
      </c>
      <c r="E37" s="19" t="s">
        <v>448</v>
      </c>
      <c r="F37" s="25" t="str">
        <f t="shared" si="7"/>
        <v>Opposition Lean</v>
      </c>
      <c r="G37" s="19" t="s">
        <v>32</v>
      </c>
      <c r="H37" s="19" t="s">
        <v>45</v>
      </c>
      <c r="I37" s="19" t="s">
        <v>32</v>
      </c>
      <c r="J37" s="19" t="s">
        <v>45</v>
      </c>
      <c r="K37" s="19" t="s">
        <v>45</v>
      </c>
      <c r="L37" s="7"/>
      <c r="M37" s="19" t="s">
        <v>45</v>
      </c>
      <c r="N37" s="17">
        <v>3.69</v>
      </c>
      <c r="O37" s="17">
        <f t="array" ref="O37">_xlfn.XLOOKUP(B37, 'Assembly Competitiveness'!$B$4:$B$120,'Assembly Competitiveness'!$O$4:$O$120, "-")</f>
        <v>55.7175</v>
      </c>
      <c r="P37" s="17">
        <f t="array" ref="P37">_xlfn.XLOOKUP(B37,'Assembly Volatality'!$B$4:$B$120,'Assembly Volatality'!$L$4:$L$120, "-")</f>
        <v>56.49</v>
      </c>
      <c r="Q37" s="17">
        <f t="shared" si="9"/>
        <v>47.7</v>
      </c>
      <c r="R37" s="19" t="s">
        <v>45</v>
      </c>
      <c r="S37" s="19" t="s">
        <v>149</v>
      </c>
      <c r="T37" s="7" t="str">
        <f t="shared" si="8"/>
        <v>Battleground</v>
      </c>
      <c r="U37" s="7" t="str">
        <f t="shared" si="3"/>
        <v>Battleground</v>
      </c>
      <c r="V37" s="7" t="str">
        <f t="shared" si="4"/>
        <v>Long Shot</v>
      </c>
      <c r="W37" s="19" t="str">
        <f t="shared" si="5"/>
        <v>Long Shot</v>
      </c>
      <c r="X37" s="7" t="str">
        <f t="shared" si="6"/>
        <v/>
      </c>
      <c r="Y37" s="7"/>
      <c r="Z37" s="7"/>
    </row>
    <row r="38">
      <c r="A38" s="17">
        <v>35.0</v>
      </c>
      <c r="B38" s="19" t="s">
        <v>215</v>
      </c>
      <c r="C38" s="19" t="s">
        <v>436</v>
      </c>
      <c r="D38" s="19" t="s">
        <v>127</v>
      </c>
      <c r="E38" s="19" t="s">
        <v>449</v>
      </c>
      <c r="F38" s="29" t="str">
        <f t="shared" si="7"/>
        <v>Highly Volatile</v>
      </c>
      <c r="G38" s="19" t="s">
        <v>32</v>
      </c>
      <c r="H38" s="19" t="s">
        <v>45</v>
      </c>
      <c r="I38" s="19" t="s">
        <v>32</v>
      </c>
      <c r="J38" s="19" t="s">
        <v>51</v>
      </c>
      <c r="K38" s="19" t="s">
        <v>53</v>
      </c>
      <c r="L38" s="7"/>
      <c r="M38" s="19" t="s">
        <v>45</v>
      </c>
      <c r="N38" s="17">
        <v>0.23</v>
      </c>
      <c r="O38" s="17">
        <f t="array" ref="O38">_xlfn.XLOOKUP(B38, 'Assembly Competitiveness'!$B$4:$B$120,'Assembly Competitiveness'!$O$4:$O$120, "-")</f>
        <v>63.5385</v>
      </c>
      <c r="P38" s="17">
        <f t="array" ref="P38">_xlfn.XLOOKUP(B38,'Assembly Volatality'!$B$4:$B$120,'Assembly Volatality'!$L$4:$L$120, "-")</f>
        <v>69.04</v>
      </c>
      <c r="Q38" s="17">
        <f t="shared" si="9"/>
        <v>71.2</v>
      </c>
      <c r="R38" s="19" t="s">
        <v>45</v>
      </c>
      <c r="S38" s="19" t="s">
        <v>149</v>
      </c>
      <c r="T38" s="7" t="str">
        <f t="shared" si="8"/>
        <v>Battleground</v>
      </c>
      <c r="U38" s="7" t="str">
        <f t="shared" si="3"/>
        <v>Battleground</v>
      </c>
      <c r="V38" s="7" t="str">
        <f t="shared" si="4"/>
        <v>Long Shot</v>
      </c>
      <c r="W38" s="19" t="str">
        <f t="shared" si="5"/>
        <v>Expand</v>
      </c>
      <c r="X38" s="7" t="str">
        <f t="shared" si="6"/>
        <v>YES</v>
      </c>
      <c r="Y38" s="7"/>
      <c r="Z38" s="7"/>
    </row>
    <row r="39">
      <c r="A39" s="17">
        <v>36.0</v>
      </c>
      <c r="B39" s="19" t="s">
        <v>451</v>
      </c>
      <c r="C39" s="19" t="s">
        <v>436</v>
      </c>
      <c r="D39" s="19" t="s">
        <v>127</v>
      </c>
      <c r="E39" s="19" t="s">
        <v>452</v>
      </c>
      <c r="F39" s="29" t="str">
        <f t="shared" si="7"/>
        <v>Highly Volatile</v>
      </c>
      <c r="G39" s="19" t="s">
        <v>45</v>
      </c>
      <c r="H39" s="19" t="s">
        <v>45</v>
      </c>
      <c r="I39" s="19" t="s">
        <v>45</v>
      </c>
      <c r="J39" s="19" t="s">
        <v>51</v>
      </c>
      <c r="K39" s="19" t="s">
        <v>53</v>
      </c>
      <c r="L39" s="7"/>
      <c r="M39" s="19" t="s">
        <v>53</v>
      </c>
      <c r="N39" s="17">
        <v>7.46</v>
      </c>
      <c r="O39" s="17">
        <f t="array" ref="O39">_xlfn.XLOOKUP(B39, 'Assembly Competitiveness'!$B$4:$B$120,'Assembly Competitiveness'!$O$4:$O$120, "-")</f>
        <v>45.707</v>
      </c>
      <c r="P39" s="17">
        <f t="array" ref="P39">_xlfn.XLOOKUP(B39,'Assembly Volatality'!$B$4:$B$120,'Assembly Volatality'!$L$4:$L$120, "-")</f>
        <v>33.55</v>
      </c>
      <c r="Q39" s="17">
        <f t="shared" si="9"/>
        <v>49</v>
      </c>
      <c r="R39" s="19" t="s">
        <v>53</v>
      </c>
      <c r="S39" s="19" t="s">
        <v>149</v>
      </c>
      <c r="T39" s="7" t="str">
        <f t="shared" si="8"/>
        <v>Long Shot</v>
      </c>
      <c r="U39" s="7" t="str">
        <f t="shared" si="3"/>
        <v>Battleground</v>
      </c>
      <c r="V39" s="7" t="str">
        <f t="shared" si="4"/>
        <v>Long Shot</v>
      </c>
      <c r="W39" s="19" t="str">
        <f t="shared" si="5"/>
        <v>Battleground</v>
      </c>
      <c r="X39" s="7" t="str">
        <f t="shared" si="6"/>
        <v/>
      </c>
      <c r="Y39" s="7"/>
      <c r="Z39" s="7"/>
    </row>
    <row r="40">
      <c r="A40" s="17">
        <v>37.0</v>
      </c>
      <c r="B40" s="19" t="s">
        <v>453</v>
      </c>
      <c r="C40" s="19" t="s">
        <v>436</v>
      </c>
      <c r="D40" s="19" t="s">
        <v>127</v>
      </c>
      <c r="E40" s="19" t="s">
        <v>454</v>
      </c>
      <c r="F40" s="34" t="str">
        <f t="shared" si="7"/>
        <v>Stronghold</v>
      </c>
      <c r="G40" s="19" t="s">
        <v>45</v>
      </c>
      <c r="H40" s="19" t="s">
        <v>45</v>
      </c>
      <c r="I40" s="19" t="s">
        <v>45</v>
      </c>
      <c r="J40" s="19" t="s">
        <v>45</v>
      </c>
      <c r="K40" s="19" t="s">
        <v>45</v>
      </c>
      <c r="L40" s="7"/>
      <c r="M40" s="19" t="s">
        <v>32</v>
      </c>
      <c r="N40" s="17">
        <v>4.68</v>
      </c>
      <c r="O40" s="17">
        <f t="array" ref="O40">_xlfn.XLOOKUP(B40, 'Assembly Competitiveness'!$B$4:$B$120,'Assembly Competitiveness'!$O$4:$O$120, "-")</f>
        <v>41.89</v>
      </c>
      <c r="P40" s="17">
        <f t="array" ref="P40">_xlfn.XLOOKUP(B40,'Assembly Volatality'!$B$4:$B$120,'Assembly Volatality'!$L$4:$L$120, "-")</f>
        <v>22.03</v>
      </c>
      <c r="Q40" s="17">
        <f t="shared" si="9"/>
        <v>27.7</v>
      </c>
      <c r="R40" s="19" t="s">
        <v>32</v>
      </c>
      <c r="S40" s="7"/>
      <c r="T40" s="7" t="str">
        <f t="shared" si="8"/>
        <v>Expand</v>
      </c>
      <c r="U40" s="7" t="str">
        <f t="shared" si="3"/>
        <v>Defend</v>
      </c>
      <c r="V40" s="7" t="str">
        <f t="shared" si="4"/>
        <v>Long Shot</v>
      </c>
      <c r="W40" s="19" t="str">
        <f t="shared" si="5"/>
        <v>Long Shot</v>
      </c>
      <c r="X40" s="7" t="str">
        <f t="shared" si="6"/>
        <v/>
      </c>
      <c r="Y40" s="7"/>
      <c r="Z40" s="7"/>
    </row>
    <row r="41">
      <c r="A41" s="17">
        <v>38.0</v>
      </c>
      <c r="B41" s="19" t="s">
        <v>456</v>
      </c>
      <c r="C41" s="19" t="s">
        <v>436</v>
      </c>
      <c r="D41" s="19" t="s">
        <v>127</v>
      </c>
      <c r="E41" s="19" t="s">
        <v>457</v>
      </c>
      <c r="F41" s="47" t="str">
        <f t="shared" si="7"/>
        <v>Lean</v>
      </c>
      <c r="G41" s="19" t="s">
        <v>45</v>
      </c>
      <c r="H41" s="19" t="s">
        <v>51</v>
      </c>
      <c r="I41" s="19" t="s">
        <v>45</v>
      </c>
      <c r="J41" s="19" t="s">
        <v>74</v>
      </c>
      <c r="K41" s="19" t="s">
        <v>45</v>
      </c>
      <c r="L41" s="7"/>
      <c r="M41" s="19" t="s">
        <v>51</v>
      </c>
      <c r="N41" s="17">
        <v>4.06</v>
      </c>
      <c r="O41" s="17">
        <f t="array" ref="O41">_xlfn.XLOOKUP(B41, 'Assembly Competitiveness'!$B$4:$B$120,'Assembly Competitiveness'!$O$4:$O$120, "-")</f>
        <v>50.245</v>
      </c>
      <c r="P41" s="17">
        <f t="array" ref="P41">_xlfn.XLOOKUP(B41,'Assembly Volatality'!$B$4:$B$120,'Assembly Volatality'!$L$4:$L$120, "-")</f>
        <v>37.86</v>
      </c>
      <c r="Q41" s="17">
        <f t="shared" si="9"/>
        <v>52.8</v>
      </c>
      <c r="R41" s="19" t="s">
        <v>51</v>
      </c>
      <c r="S41" s="7"/>
      <c r="T41" s="7" t="str">
        <f t="shared" si="8"/>
        <v>Long Shot</v>
      </c>
      <c r="U41" s="7" t="str">
        <f t="shared" si="3"/>
        <v>Defend</v>
      </c>
      <c r="V41" s="7" t="str">
        <f t="shared" si="4"/>
        <v>Expand</v>
      </c>
      <c r="W41" s="19" t="str">
        <f t="shared" si="5"/>
        <v>Long Shot</v>
      </c>
      <c r="X41" s="7" t="str">
        <f t="shared" si="6"/>
        <v/>
      </c>
      <c r="Y41" s="7"/>
      <c r="Z41" s="7"/>
    </row>
    <row r="42">
      <c r="A42" s="17">
        <v>39.0</v>
      </c>
      <c r="B42" s="19" t="s">
        <v>458</v>
      </c>
      <c r="C42" s="19" t="s">
        <v>459</v>
      </c>
      <c r="D42" s="19" t="s">
        <v>127</v>
      </c>
      <c r="E42" s="19" t="s">
        <v>460</v>
      </c>
      <c r="F42" s="34" t="str">
        <f t="shared" si="7"/>
        <v>Stronghold</v>
      </c>
      <c r="G42" s="19" t="s">
        <v>53</v>
      </c>
      <c r="H42" s="19" t="s">
        <v>45</v>
      </c>
      <c r="I42" s="19" t="s">
        <v>53</v>
      </c>
      <c r="J42" s="19" t="s">
        <v>53</v>
      </c>
      <c r="K42" s="19" t="s">
        <v>53</v>
      </c>
      <c r="L42" s="7"/>
      <c r="M42" s="19" t="s">
        <v>32</v>
      </c>
      <c r="N42" s="17">
        <v>1.89</v>
      </c>
      <c r="O42" s="17">
        <f t="array" ref="O42">_xlfn.XLOOKUP(B42, 'Assembly Competitiveness'!$B$4:$B$120,'Assembly Competitiveness'!$O$4:$O$120, "-")</f>
        <v>49.7015</v>
      </c>
      <c r="P42" s="17">
        <f t="array" ref="P42">_xlfn.XLOOKUP(B42,'Assembly Volatality'!$B$4:$B$120,'Assembly Volatality'!$L$4:$L$120, "-")</f>
        <v>46.56</v>
      </c>
      <c r="Q42" s="17">
        <f t="shared" si="9"/>
        <v>56</v>
      </c>
      <c r="R42" s="19" t="s">
        <v>32</v>
      </c>
      <c r="S42" s="7"/>
      <c r="T42" s="7" t="str">
        <f t="shared" si="8"/>
        <v>Expand</v>
      </c>
      <c r="U42" s="7" t="str">
        <f t="shared" si="3"/>
        <v>Long Shot</v>
      </c>
      <c r="V42" s="7" t="str">
        <f t="shared" si="4"/>
        <v>Long Shot</v>
      </c>
      <c r="W42" s="19" t="str">
        <f t="shared" si="5"/>
        <v>Defend</v>
      </c>
      <c r="X42" s="7" t="str">
        <f t="shared" si="6"/>
        <v/>
      </c>
      <c r="Y42" s="7"/>
      <c r="Z42" s="7"/>
    </row>
    <row r="43">
      <c r="A43" s="17">
        <v>40.0</v>
      </c>
      <c r="B43" s="19" t="s">
        <v>461</v>
      </c>
      <c r="C43" s="19" t="s">
        <v>459</v>
      </c>
      <c r="D43" s="19" t="s">
        <v>127</v>
      </c>
      <c r="E43" s="19" t="s">
        <v>463</v>
      </c>
      <c r="F43" s="29" t="str">
        <f t="shared" si="7"/>
        <v>Highly Volatile</v>
      </c>
      <c r="G43" s="19" t="s">
        <v>32</v>
      </c>
      <c r="H43" s="19" t="s">
        <v>45</v>
      </c>
      <c r="I43" s="19" t="s">
        <v>32</v>
      </c>
      <c r="J43" s="19" t="s">
        <v>53</v>
      </c>
      <c r="K43" s="19" t="s">
        <v>53</v>
      </c>
      <c r="L43" s="7"/>
      <c r="M43" s="19" t="s">
        <v>45</v>
      </c>
      <c r="N43" s="17">
        <v>6.47</v>
      </c>
      <c r="O43" s="17">
        <f t="array" ref="O43">_xlfn.XLOOKUP(B43, 'Assembly Competitiveness'!$B$4:$B$120,'Assembly Competitiveness'!$O$4:$O$120, "-")</f>
        <v>49.6885</v>
      </c>
      <c r="P43" s="17">
        <f t="array" ref="P43">_xlfn.XLOOKUP(B43,'Assembly Volatality'!$B$4:$B$120,'Assembly Volatality'!$L$4:$L$120, "-")</f>
        <v>49.28</v>
      </c>
      <c r="Q43" s="17">
        <f t="shared" si="9"/>
        <v>57.1</v>
      </c>
      <c r="R43" s="19" t="s">
        <v>45</v>
      </c>
      <c r="S43" s="19" t="s">
        <v>149</v>
      </c>
      <c r="T43" s="7" t="str">
        <f t="shared" si="8"/>
        <v>Battleground</v>
      </c>
      <c r="U43" s="7" t="str">
        <f t="shared" si="3"/>
        <v>Battleground</v>
      </c>
      <c r="V43" s="7" t="str">
        <f t="shared" si="4"/>
        <v>Long Shot</v>
      </c>
      <c r="W43" s="19" t="str">
        <f t="shared" si="5"/>
        <v>Expand</v>
      </c>
      <c r="X43" s="7" t="str">
        <f t="shared" si="6"/>
        <v>YES</v>
      </c>
      <c r="Y43" s="7"/>
      <c r="Z43" s="7"/>
    </row>
    <row r="44">
      <c r="A44" s="17">
        <v>41.0</v>
      </c>
      <c r="B44" s="19" t="s">
        <v>275</v>
      </c>
      <c r="C44" s="19" t="s">
        <v>459</v>
      </c>
      <c r="D44" s="19" t="s">
        <v>127</v>
      </c>
      <c r="E44" s="19" t="s">
        <v>468</v>
      </c>
      <c r="F44" s="25" t="str">
        <f t="shared" si="7"/>
        <v>Opposition Lean</v>
      </c>
      <c r="G44" s="19" t="s">
        <v>32</v>
      </c>
      <c r="H44" s="19" t="s">
        <v>45</v>
      </c>
      <c r="I44" s="19" t="s">
        <v>32</v>
      </c>
      <c r="J44" s="19" t="s">
        <v>45</v>
      </c>
      <c r="K44" s="19" t="s">
        <v>45</v>
      </c>
      <c r="L44" s="7"/>
      <c r="M44" s="19" t="s">
        <v>45</v>
      </c>
      <c r="N44" s="17">
        <v>3.37</v>
      </c>
      <c r="O44" s="17">
        <f t="array" ref="O44">_xlfn.XLOOKUP(B44, 'Assembly Competitiveness'!$B$4:$B$120,'Assembly Competitiveness'!$O$4:$O$120, "-")</f>
        <v>58.9055</v>
      </c>
      <c r="P44" s="17">
        <f t="array" ref="P44">_xlfn.XLOOKUP(B44,'Assembly Volatality'!$B$4:$B$120,'Assembly Volatality'!$L$4:$L$120, "-")</f>
        <v>51.22</v>
      </c>
      <c r="Q44" s="17">
        <f t="shared" si="9"/>
        <v>47</v>
      </c>
      <c r="R44" s="19" t="s">
        <v>45</v>
      </c>
      <c r="S44" s="19" t="s">
        <v>149</v>
      </c>
      <c r="T44" s="7" t="str">
        <f t="shared" si="8"/>
        <v>Battleground</v>
      </c>
      <c r="U44" s="7" t="str">
        <f t="shared" si="3"/>
        <v>Battleground</v>
      </c>
      <c r="V44" s="7" t="str">
        <f t="shared" si="4"/>
        <v>Long Shot</v>
      </c>
      <c r="W44" s="19" t="str">
        <f t="shared" si="5"/>
        <v>Long Shot</v>
      </c>
      <c r="X44" s="7" t="str">
        <f t="shared" si="6"/>
        <v/>
      </c>
      <c r="Y44" s="7"/>
      <c r="Z44" s="7"/>
    </row>
    <row r="45">
      <c r="A45" s="17">
        <v>42.0</v>
      </c>
      <c r="B45" s="19" t="s">
        <v>462</v>
      </c>
      <c r="C45" s="19" t="s">
        <v>459</v>
      </c>
      <c r="D45" s="19" t="s">
        <v>127</v>
      </c>
      <c r="E45" s="19" t="s">
        <v>474</v>
      </c>
      <c r="F45" s="47" t="str">
        <f t="shared" si="7"/>
        <v>Lean</v>
      </c>
      <c r="G45" s="19" t="s">
        <v>32</v>
      </c>
      <c r="H45" s="19" t="s">
        <v>45</v>
      </c>
      <c r="I45" s="19" t="s">
        <v>32</v>
      </c>
      <c r="J45" s="19" t="s">
        <v>45</v>
      </c>
      <c r="K45" s="19" t="s">
        <v>32</v>
      </c>
      <c r="L45" s="7"/>
      <c r="M45" s="19" t="s">
        <v>45</v>
      </c>
      <c r="N45" s="17">
        <v>17.37</v>
      </c>
      <c r="O45" s="17">
        <f t="array" ref="O45">_xlfn.XLOOKUP(B45, 'Assembly Competitiveness'!$B$4:$B$120,'Assembly Competitiveness'!$O$4:$O$120, "-")</f>
        <v>28.5255</v>
      </c>
      <c r="P45" s="17">
        <f t="array" ref="P45">_xlfn.XLOOKUP(B45,'Assembly Volatality'!$B$4:$B$120,'Assembly Volatality'!$L$4:$L$120, "-")</f>
        <v>48.71</v>
      </c>
      <c r="Q45" s="17">
        <f t="shared" si="9"/>
        <v>47.3</v>
      </c>
      <c r="R45" s="19" t="s">
        <v>45</v>
      </c>
      <c r="S45" s="7"/>
      <c r="T45" s="7" t="str">
        <f t="shared" si="8"/>
        <v>Defend</v>
      </c>
      <c r="U45" s="7" t="str">
        <f t="shared" si="3"/>
        <v>Expand</v>
      </c>
      <c r="V45" s="7" t="str">
        <f t="shared" si="4"/>
        <v>Long Shot</v>
      </c>
      <c r="W45" s="19" t="str">
        <f t="shared" si="5"/>
        <v>Long Shot</v>
      </c>
      <c r="X45" s="7" t="str">
        <f t="shared" si="6"/>
        <v/>
      </c>
      <c r="Y45" s="7"/>
      <c r="Z45" s="7"/>
    </row>
    <row r="46">
      <c r="A46" s="17">
        <v>43.0</v>
      </c>
      <c r="B46" s="19" t="s">
        <v>459</v>
      </c>
      <c r="C46" s="19" t="s">
        <v>459</v>
      </c>
      <c r="D46" s="19" t="s">
        <v>127</v>
      </c>
      <c r="E46" s="19" t="s">
        <v>480</v>
      </c>
      <c r="F46" s="29" t="str">
        <f t="shared" si="7"/>
        <v>Highly Volatile</v>
      </c>
      <c r="G46" s="19" t="s">
        <v>32</v>
      </c>
      <c r="H46" s="19" t="s">
        <v>45</v>
      </c>
      <c r="I46" s="19" t="s">
        <v>32</v>
      </c>
      <c r="J46" s="19" t="s">
        <v>53</v>
      </c>
      <c r="K46" s="19" t="s">
        <v>53</v>
      </c>
      <c r="L46" s="7"/>
      <c r="M46" s="19" t="s">
        <v>45</v>
      </c>
      <c r="N46" s="17">
        <v>10.93</v>
      </c>
      <c r="O46" s="17">
        <f t="array" ref="O46">_xlfn.XLOOKUP(B46, 'Assembly Competitiveness'!$B$4:$B$120,'Assembly Competitiveness'!$O$4:$O$120, "-")</f>
        <v>41.9135</v>
      </c>
      <c r="P46" s="17">
        <f t="array" ref="P46">_xlfn.XLOOKUP(B46,'Assembly Volatality'!$B$4:$B$120,'Assembly Volatality'!$L$4:$L$120, "-")</f>
        <v>44.91</v>
      </c>
      <c r="Q46" s="17">
        <f t="shared" si="9"/>
        <v>51.8</v>
      </c>
      <c r="R46" s="19" t="s">
        <v>45</v>
      </c>
      <c r="S46" s="19" t="s">
        <v>149</v>
      </c>
      <c r="T46" s="7" t="str">
        <f t="shared" si="8"/>
        <v>Battleground</v>
      </c>
      <c r="U46" s="7" t="str">
        <f t="shared" si="3"/>
        <v>Battleground</v>
      </c>
      <c r="V46" s="7" t="str">
        <f t="shared" si="4"/>
        <v>Long Shot</v>
      </c>
      <c r="W46" s="19" t="str">
        <f t="shared" si="5"/>
        <v>Expand</v>
      </c>
      <c r="X46" s="7" t="str">
        <f t="shared" si="6"/>
        <v>YES</v>
      </c>
      <c r="Y46" s="7"/>
      <c r="Z46" s="7"/>
    </row>
    <row r="47">
      <c r="A47" s="17">
        <v>44.0</v>
      </c>
      <c r="B47" s="19" t="s">
        <v>247</v>
      </c>
      <c r="C47" s="19" t="s">
        <v>459</v>
      </c>
      <c r="D47" s="19" t="s">
        <v>127</v>
      </c>
      <c r="E47" s="19" t="s">
        <v>484</v>
      </c>
      <c r="F47" s="46" t="str">
        <f t="shared" si="7"/>
        <v>Battleground</v>
      </c>
      <c r="G47" s="19" t="s">
        <v>32</v>
      </c>
      <c r="H47" s="19" t="s">
        <v>45</v>
      </c>
      <c r="I47" s="19" t="s">
        <v>45</v>
      </c>
      <c r="J47" s="19" t="s">
        <v>45</v>
      </c>
      <c r="K47" s="19" t="s">
        <v>32</v>
      </c>
      <c r="L47" s="22" t="s">
        <v>210</v>
      </c>
      <c r="M47" s="19" t="s">
        <v>32</v>
      </c>
      <c r="N47" s="17">
        <v>6.68</v>
      </c>
      <c r="O47" s="17">
        <f t="array" ref="O47">_xlfn.XLOOKUP(B47, 'Assembly Competitiveness'!$B$4:$B$120,'Assembly Competitiveness'!$O$4:$O$120, "-")</f>
        <v>62.478</v>
      </c>
      <c r="P47" s="17">
        <f t="array" ref="P47">_xlfn.XLOOKUP(B47,'Assembly Volatality'!$B$4:$B$120,'Assembly Volatality'!$L$4:$L$120, "-")</f>
        <v>56.19</v>
      </c>
      <c r="Q47" s="17">
        <f t="shared" si="9"/>
        <v>65.6</v>
      </c>
      <c r="R47" s="19" t="s">
        <v>45</v>
      </c>
      <c r="S47" s="19" t="s">
        <v>149</v>
      </c>
      <c r="T47" s="7" t="str">
        <f t="shared" si="8"/>
        <v>Battleground</v>
      </c>
      <c r="U47" s="7" t="str">
        <f t="shared" si="3"/>
        <v>Battleground</v>
      </c>
      <c r="V47" s="7" t="str">
        <f t="shared" si="4"/>
        <v>Long Shot</v>
      </c>
      <c r="W47" s="19" t="str">
        <f t="shared" si="5"/>
        <v>Long Shot</v>
      </c>
      <c r="X47" s="7" t="str">
        <f t="shared" si="6"/>
        <v/>
      </c>
      <c r="Y47" s="7"/>
      <c r="Z47" s="7"/>
    </row>
    <row r="48">
      <c r="A48" s="17">
        <v>45.0</v>
      </c>
      <c r="B48" s="19" t="s">
        <v>465</v>
      </c>
      <c r="C48" s="19" t="s">
        <v>459</v>
      </c>
      <c r="D48" s="19" t="s">
        <v>127</v>
      </c>
      <c r="E48" s="19" t="s">
        <v>492</v>
      </c>
      <c r="F48" s="47" t="str">
        <f t="shared" si="7"/>
        <v>Lean</v>
      </c>
      <c r="G48" s="19" t="s">
        <v>32</v>
      </c>
      <c r="H48" s="19" t="s">
        <v>32</v>
      </c>
      <c r="I48" s="19" t="s">
        <v>32</v>
      </c>
      <c r="J48" s="19" t="s">
        <v>45</v>
      </c>
      <c r="K48" s="19" t="s">
        <v>32</v>
      </c>
      <c r="L48" s="7"/>
      <c r="M48" s="19" t="s">
        <v>45</v>
      </c>
      <c r="N48" s="17">
        <v>3.44</v>
      </c>
      <c r="O48" s="17">
        <f t="array" ref="O48">_xlfn.XLOOKUP(B48, 'Assembly Competitiveness'!$B$4:$B$120,'Assembly Competitiveness'!$O$4:$O$120, "-")</f>
        <v>56.788</v>
      </c>
      <c r="P48" s="17">
        <f t="array" ref="P48">_xlfn.XLOOKUP(B48,'Assembly Volatality'!$B$4:$B$120,'Assembly Volatality'!$L$4:$L$120, "-")</f>
        <v>6.08</v>
      </c>
      <c r="Q48" s="17">
        <f t="shared" si="9"/>
        <v>28</v>
      </c>
      <c r="R48" s="19" t="s">
        <v>45</v>
      </c>
      <c r="S48" s="7"/>
      <c r="T48" s="7" t="str">
        <f t="shared" si="8"/>
        <v>Defend</v>
      </c>
      <c r="U48" s="7" t="str">
        <f t="shared" si="3"/>
        <v>Expand</v>
      </c>
      <c r="V48" s="7" t="str">
        <f t="shared" si="4"/>
        <v>Long Shot</v>
      </c>
      <c r="W48" s="19" t="str">
        <f t="shared" si="5"/>
        <v>Long Shot</v>
      </c>
      <c r="X48" s="7" t="str">
        <f t="shared" si="6"/>
        <v/>
      </c>
      <c r="Y48" s="7"/>
      <c r="Z48" s="7"/>
    </row>
    <row r="49">
      <c r="A49" s="17">
        <v>46.0</v>
      </c>
      <c r="B49" s="19" t="s">
        <v>211</v>
      </c>
      <c r="C49" s="19" t="s">
        <v>487</v>
      </c>
      <c r="D49" s="19" t="s">
        <v>127</v>
      </c>
      <c r="E49" s="19" t="s">
        <v>500</v>
      </c>
      <c r="F49" s="29" t="str">
        <f t="shared" si="7"/>
        <v>Highly Volatile</v>
      </c>
      <c r="G49" s="19" t="s">
        <v>32</v>
      </c>
      <c r="H49" s="19" t="s">
        <v>51</v>
      </c>
      <c r="I49" s="19" t="s">
        <v>51</v>
      </c>
      <c r="J49" s="19" t="s">
        <v>74</v>
      </c>
      <c r="K49" s="19" t="s">
        <v>32</v>
      </c>
      <c r="L49" s="19" t="s">
        <v>504</v>
      </c>
      <c r="M49" s="19" t="s">
        <v>45</v>
      </c>
      <c r="N49" s="17">
        <v>4.43</v>
      </c>
      <c r="O49" s="17">
        <f t="array" ref="O49">_xlfn.XLOOKUP(B49, 'Assembly Competitiveness'!$B$4:$B$120,'Assembly Competitiveness'!$O$4:$O$120, "-")</f>
        <v>79.6345</v>
      </c>
      <c r="P49" s="17">
        <f t="array" ref="P49">_xlfn.XLOOKUP(B49,'Assembly Volatality'!$B$4:$B$120,'Assembly Volatality'!$L$4:$L$120, "-")</f>
        <v>44.76</v>
      </c>
      <c r="Q49" s="17">
        <f t="shared" si="9"/>
        <v>68.7</v>
      </c>
      <c r="R49" s="19" t="s">
        <v>51</v>
      </c>
      <c r="S49" s="19" t="s">
        <v>149</v>
      </c>
      <c r="T49" s="7" t="str">
        <f t="shared" si="8"/>
        <v>Battleground</v>
      </c>
      <c r="U49" s="7" t="str">
        <f t="shared" si="3"/>
        <v>Expand</v>
      </c>
      <c r="V49" s="7" t="str">
        <f t="shared" si="4"/>
        <v>Battleground</v>
      </c>
      <c r="W49" s="19" t="str">
        <f t="shared" si="5"/>
        <v>Long Shot</v>
      </c>
      <c r="X49" s="7" t="str">
        <f t="shared" si="6"/>
        <v>YES</v>
      </c>
      <c r="Y49" s="7"/>
      <c r="Z49" s="7"/>
    </row>
    <row r="50">
      <c r="A50" s="17">
        <v>47.0</v>
      </c>
      <c r="B50" s="19" t="s">
        <v>259</v>
      </c>
      <c r="C50" s="19" t="s">
        <v>487</v>
      </c>
      <c r="D50" s="19" t="s">
        <v>127</v>
      </c>
      <c r="E50" s="19" t="s">
        <v>511</v>
      </c>
      <c r="F50" s="46" t="str">
        <f t="shared" si="7"/>
        <v>Battleground</v>
      </c>
      <c r="G50" s="19" t="s">
        <v>74</v>
      </c>
      <c r="H50" s="19" t="s">
        <v>45</v>
      </c>
      <c r="I50" s="19" t="s">
        <v>74</v>
      </c>
      <c r="J50" s="19" t="s">
        <v>45</v>
      </c>
      <c r="K50" s="19" t="s">
        <v>32</v>
      </c>
      <c r="L50" s="7"/>
      <c r="M50" s="19" t="s">
        <v>32</v>
      </c>
      <c r="N50" s="17">
        <v>4.36</v>
      </c>
      <c r="O50" s="17">
        <f t="array" ref="O50">_xlfn.XLOOKUP(B50, 'Assembly Competitiveness'!$B$4:$B$120,'Assembly Competitiveness'!$O$4:$O$120, "-")</f>
        <v>63.294</v>
      </c>
      <c r="P50" s="17">
        <f t="array" ref="P50">_xlfn.XLOOKUP(B50,'Assembly Volatality'!$B$4:$B$120,'Assembly Volatality'!$L$4:$L$120, "-")</f>
        <v>47.92</v>
      </c>
      <c r="Q50" s="17">
        <f t="shared" si="9"/>
        <v>62.7</v>
      </c>
      <c r="R50" s="19" t="s">
        <v>32</v>
      </c>
      <c r="S50" s="19" t="s">
        <v>149</v>
      </c>
      <c r="T50" s="7" t="str">
        <f t="shared" si="8"/>
        <v>Battleground</v>
      </c>
      <c r="U50" s="7" t="str">
        <f t="shared" si="3"/>
        <v>Long Shot</v>
      </c>
      <c r="V50" s="7" t="str">
        <f t="shared" si="4"/>
        <v>Long Shot</v>
      </c>
      <c r="W50" s="19" t="str">
        <f t="shared" si="5"/>
        <v>Long Shot</v>
      </c>
      <c r="X50" s="7" t="str">
        <f t="shared" si="6"/>
        <v/>
      </c>
      <c r="Y50" s="7"/>
      <c r="Z50" s="7"/>
    </row>
    <row r="51">
      <c r="A51" s="17">
        <v>48.0</v>
      </c>
      <c r="B51" s="19" t="s">
        <v>278</v>
      </c>
      <c r="C51" s="19" t="s">
        <v>487</v>
      </c>
      <c r="D51" s="19" t="s">
        <v>127</v>
      </c>
      <c r="E51" s="19" t="s">
        <v>515</v>
      </c>
      <c r="F51" s="29" t="str">
        <f t="shared" si="7"/>
        <v>Highly Volatile</v>
      </c>
      <c r="G51" s="19" t="s">
        <v>32</v>
      </c>
      <c r="H51" s="19" t="s">
        <v>45</v>
      </c>
      <c r="I51" s="19" t="s">
        <v>32</v>
      </c>
      <c r="J51" s="19" t="s">
        <v>51</v>
      </c>
      <c r="K51" s="19" t="s">
        <v>45</v>
      </c>
      <c r="L51" s="7"/>
      <c r="M51" s="19" t="s">
        <v>51</v>
      </c>
      <c r="N51" s="17">
        <v>3.97</v>
      </c>
      <c r="O51" s="17">
        <f t="array" ref="O51">_xlfn.XLOOKUP(B51, 'Assembly Competitiveness'!$B$4:$B$120,'Assembly Competitiveness'!$O$4:$O$120, "-")</f>
        <v>54.3695</v>
      </c>
      <c r="P51" s="17">
        <f t="array" ref="P51">_xlfn.XLOOKUP(B51,'Assembly Volatality'!$B$4:$B$120,'Assembly Volatality'!$L$4:$L$120, "-")</f>
        <v>57.87</v>
      </c>
      <c r="Q51" s="17">
        <f t="shared" si="9"/>
        <v>47.6</v>
      </c>
      <c r="R51" s="19" t="s">
        <v>51</v>
      </c>
      <c r="S51" s="19" t="s">
        <v>149</v>
      </c>
      <c r="T51" s="7" t="str">
        <f t="shared" si="8"/>
        <v>Battleground</v>
      </c>
      <c r="U51" s="7" t="str">
        <f t="shared" si="3"/>
        <v>Expand</v>
      </c>
      <c r="V51" s="7" t="str">
        <f t="shared" si="4"/>
        <v>Battleground</v>
      </c>
      <c r="W51" s="19" t="str">
        <f t="shared" si="5"/>
        <v>Long Shot</v>
      </c>
      <c r="X51" s="7" t="str">
        <f t="shared" si="6"/>
        <v>YES</v>
      </c>
      <c r="Y51" s="7"/>
      <c r="Z51" s="7"/>
    </row>
    <row r="52">
      <c r="A52" s="17">
        <v>49.0</v>
      </c>
      <c r="B52" s="19" t="s">
        <v>467</v>
      </c>
      <c r="C52" s="19" t="s">
        <v>469</v>
      </c>
      <c r="D52" s="19" t="s">
        <v>35</v>
      </c>
      <c r="E52" s="19" t="s">
        <v>521</v>
      </c>
      <c r="F52" s="47" t="str">
        <f t="shared" si="7"/>
        <v>Lean</v>
      </c>
      <c r="G52" s="19" t="s">
        <v>32</v>
      </c>
      <c r="H52" s="19" t="s">
        <v>45</v>
      </c>
      <c r="I52" s="19" t="s">
        <v>32</v>
      </c>
      <c r="J52" s="19" t="s">
        <v>51</v>
      </c>
      <c r="K52" s="19" t="s">
        <v>32</v>
      </c>
      <c r="L52" s="7"/>
      <c r="M52" s="19" t="s">
        <v>45</v>
      </c>
      <c r="N52" s="17">
        <v>32.58</v>
      </c>
      <c r="O52" s="17">
        <f t="array" ref="O52">_xlfn.XLOOKUP(B52, 'Assembly Competitiveness'!$B$4:$B$120,'Assembly Competitiveness'!$O$4:$O$120, "-")</f>
        <v>8.126</v>
      </c>
      <c r="P52" s="17">
        <f t="array" ref="P52">_xlfn.XLOOKUP(B52,'Assembly Volatality'!$B$4:$B$120,'Assembly Volatality'!$L$4:$L$120, "-")</f>
        <v>46.07</v>
      </c>
      <c r="Q52" s="17">
        <f t="shared" si="9"/>
        <v>37.1</v>
      </c>
      <c r="R52" s="19" t="s">
        <v>45</v>
      </c>
      <c r="S52" s="7"/>
      <c r="T52" s="7" t="str">
        <f t="shared" si="8"/>
        <v>Defend</v>
      </c>
      <c r="U52" s="7" t="str">
        <f t="shared" si="3"/>
        <v>Expand</v>
      </c>
      <c r="V52" s="7" t="str">
        <f t="shared" si="4"/>
        <v>Long Shot</v>
      </c>
      <c r="W52" s="19" t="str">
        <f t="shared" si="5"/>
        <v>Long Shot</v>
      </c>
      <c r="X52" s="7" t="str">
        <f t="shared" si="6"/>
        <v/>
      </c>
      <c r="Y52" s="7"/>
      <c r="Z52" s="7"/>
    </row>
    <row r="53">
      <c r="A53" s="17">
        <v>50.0</v>
      </c>
      <c r="B53" s="19" t="s">
        <v>469</v>
      </c>
      <c r="C53" s="19" t="s">
        <v>469</v>
      </c>
      <c r="D53" s="19" t="s">
        <v>35</v>
      </c>
      <c r="E53" s="19" t="s">
        <v>525</v>
      </c>
      <c r="F53" s="34" t="str">
        <f t="shared" si="7"/>
        <v>Stronghold</v>
      </c>
      <c r="G53" s="19" t="s">
        <v>32</v>
      </c>
      <c r="H53" s="19" t="s">
        <v>32</v>
      </c>
      <c r="I53" s="19" t="s">
        <v>32</v>
      </c>
      <c r="J53" s="19" t="s">
        <v>45</v>
      </c>
      <c r="K53" s="19" t="s">
        <v>32</v>
      </c>
      <c r="L53" s="7"/>
      <c r="M53" s="19" t="s">
        <v>45</v>
      </c>
      <c r="N53" s="17">
        <v>17.49</v>
      </c>
      <c r="O53" s="17">
        <f t="array" ref="O53">_xlfn.XLOOKUP(B53, 'Assembly Competitiveness'!$B$4:$B$120,'Assembly Competitiveness'!$O$4:$O$120, "-")</f>
        <v>7.6415</v>
      </c>
      <c r="P53" s="17">
        <f t="array" ref="P53">_xlfn.XLOOKUP(B53,'Assembly Volatality'!$B$4:$B$120,'Assembly Volatality'!$L$4:$L$120, "-")</f>
        <v>3.82</v>
      </c>
      <c r="Q53" s="17">
        <f t="shared" si="9"/>
        <v>5</v>
      </c>
      <c r="R53" s="19" t="s">
        <v>45</v>
      </c>
      <c r="S53" s="7"/>
      <c r="T53" s="7" t="str">
        <f t="shared" si="8"/>
        <v>Defend</v>
      </c>
      <c r="U53" s="7" t="str">
        <f t="shared" si="3"/>
        <v>Expand</v>
      </c>
      <c r="V53" s="7" t="str">
        <f t="shared" si="4"/>
        <v>Long Shot</v>
      </c>
      <c r="W53" s="19" t="str">
        <f t="shared" si="5"/>
        <v>Long Shot</v>
      </c>
      <c r="X53" s="7" t="str">
        <f t="shared" si="6"/>
        <v/>
      </c>
      <c r="Y53" s="7"/>
      <c r="Z53" s="7"/>
    </row>
    <row r="54">
      <c r="A54" s="17">
        <v>51.0</v>
      </c>
      <c r="B54" s="19" t="s">
        <v>470</v>
      </c>
      <c r="C54" s="19" t="s">
        <v>469</v>
      </c>
      <c r="D54" s="19" t="s">
        <v>35</v>
      </c>
      <c r="E54" s="19" t="s">
        <v>530</v>
      </c>
      <c r="F54" s="25" t="str">
        <f t="shared" si="7"/>
        <v>Opposition Lean</v>
      </c>
      <c r="G54" s="19" t="s">
        <v>32</v>
      </c>
      <c r="H54" s="19" t="s">
        <v>45</v>
      </c>
      <c r="I54" s="19" t="s">
        <v>32</v>
      </c>
      <c r="J54" s="19" t="s">
        <v>45</v>
      </c>
      <c r="K54" s="19" t="s">
        <v>45</v>
      </c>
      <c r="L54" s="7"/>
      <c r="M54" s="19" t="s">
        <v>45</v>
      </c>
      <c r="N54" s="17">
        <v>5.41</v>
      </c>
      <c r="O54" s="17">
        <f t="array" ref="O54">_xlfn.XLOOKUP(B54, 'Assembly Competitiveness'!$B$4:$B$120,'Assembly Competitiveness'!$O$4:$O$120, "-")</f>
        <v>55.5515</v>
      </c>
      <c r="P54" s="17">
        <f t="array" ref="P54">_xlfn.XLOOKUP(B54,'Assembly Volatality'!$B$4:$B$120,'Assembly Volatality'!$L$4:$L$120, "-")</f>
        <v>45.97</v>
      </c>
      <c r="Q54" s="17">
        <f t="shared" si="9"/>
        <v>43.4</v>
      </c>
      <c r="R54" s="19" t="s">
        <v>45</v>
      </c>
      <c r="S54" s="19" t="s">
        <v>149</v>
      </c>
      <c r="T54" s="7" t="str">
        <f t="shared" si="8"/>
        <v>Battleground</v>
      </c>
      <c r="U54" s="7" t="str">
        <f t="shared" si="3"/>
        <v>Battleground</v>
      </c>
      <c r="V54" s="7" t="str">
        <f t="shared" si="4"/>
        <v>Long Shot</v>
      </c>
      <c r="W54" s="19" t="str">
        <f t="shared" si="5"/>
        <v>Long Shot</v>
      </c>
      <c r="X54" s="7" t="str">
        <f t="shared" si="6"/>
        <v/>
      </c>
      <c r="Y54" s="7"/>
      <c r="Z54" s="7"/>
    </row>
    <row r="55">
      <c r="A55" s="17">
        <v>52.0</v>
      </c>
      <c r="B55" s="19" t="s">
        <v>471</v>
      </c>
      <c r="C55" s="19" t="s">
        <v>472</v>
      </c>
      <c r="D55" s="19" t="s">
        <v>35</v>
      </c>
      <c r="E55" s="19" t="s">
        <v>535</v>
      </c>
      <c r="F55" s="29" t="str">
        <f t="shared" si="7"/>
        <v>Highly Volatile</v>
      </c>
      <c r="G55" s="19" t="s">
        <v>32</v>
      </c>
      <c r="H55" s="19" t="s">
        <v>32</v>
      </c>
      <c r="I55" s="19" t="s">
        <v>32</v>
      </c>
      <c r="J55" s="19" t="s">
        <v>45</v>
      </c>
      <c r="K55" s="19" t="s">
        <v>45</v>
      </c>
      <c r="L55" s="7"/>
      <c r="M55" s="19" t="s">
        <v>51</v>
      </c>
      <c r="N55" s="17">
        <v>21.53</v>
      </c>
      <c r="O55" s="17">
        <f t="array" ref="O55">_xlfn.XLOOKUP(B55, 'Assembly Competitiveness'!$B$4:$B$120,'Assembly Competitiveness'!$O$4:$O$120, "-")</f>
        <v>36.834</v>
      </c>
      <c r="P55" s="17">
        <f t="array" ref="P55">_xlfn.XLOOKUP(B55,'Assembly Volatality'!$B$4:$B$120,'Assembly Volatality'!$L$4:$L$120, "-")</f>
        <v>35.47</v>
      </c>
      <c r="Q55" s="17">
        <f t="shared" si="9"/>
        <v>45.8</v>
      </c>
      <c r="R55" s="19" t="s">
        <v>51</v>
      </c>
      <c r="S55" s="19" t="s">
        <v>149</v>
      </c>
      <c r="T55" s="7" t="str">
        <f t="shared" si="8"/>
        <v>Battleground</v>
      </c>
      <c r="U55" s="7" t="str">
        <f t="shared" si="3"/>
        <v>Expand</v>
      </c>
      <c r="V55" s="7" t="str">
        <f t="shared" si="4"/>
        <v>Battleground</v>
      </c>
      <c r="W55" s="19" t="str">
        <f t="shared" si="5"/>
        <v>Long Shot</v>
      </c>
      <c r="X55" s="7" t="str">
        <f t="shared" si="6"/>
        <v>YES</v>
      </c>
      <c r="Y55" s="7"/>
      <c r="Z55" s="7"/>
    </row>
    <row r="56">
      <c r="A56" s="17">
        <v>53.0</v>
      </c>
      <c r="B56" s="19" t="s">
        <v>472</v>
      </c>
      <c r="C56" s="19" t="s">
        <v>472</v>
      </c>
      <c r="D56" s="19" t="s">
        <v>35</v>
      </c>
      <c r="E56" s="19" t="s">
        <v>541</v>
      </c>
      <c r="F56" s="25" t="str">
        <f t="shared" si="7"/>
        <v>Opposition Lean</v>
      </c>
      <c r="G56" s="19" t="s">
        <v>32</v>
      </c>
      <c r="H56" s="19" t="s">
        <v>45</v>
      </c>
      <c r="I56" s="19" t="s">
        <v>32</v>
      </c>
      <c r="J56" s="19" t="s">
        <v>45</v>
      </c>
      <c r="K56" s="19" t="s">
        <v>45</v>
      </c>
      <c r="L56" s="7"/>
      <c r="M56" s="19" t="s">
        <v>45</v>
      </c>
      <c r="N56" s="17">
        <v>22.14</v>
      </c>
      <c r="O56" s="17">
        <f t="array" ref="O56">_xlfn.XLOOKUP(B56, 'Assembly Competitiveness'!$B$4:$B$120,'Assembly Competitiveness'!$O$4:$O$120, "-")</f>
        <v>10.912</v>
      </c>
      <c r="P56" s="17">
        <f t="array" ref="P56">_xlfn.XLOOKUP(B56,'Assembly Volatality'!$B$4:$B$120,'Assembly Volatality'!$L$4:$L$120, "-")</f>
        <v>44.02</v>
      </c>
      <c r="Q56" s="17">
        <f t="shared" si="9"/>
        <v>22.5</v>
      </c>
      <c r="R56" s="19" t="s">
        <v>45</v>
      </c>
      <c r="S56" s="19" t="s">
        <v>149</v>
      </c>
      <c r="T56" s="7" t="str">
        <f t="shared" si="8"/>
        <v>Battleground</v>
      </c>
      <c r="U56" s="7" t="str">
        <f t="shared" si="3"/>
        <v>Battleground</v>
      </c>
      <c r="V56" s="7" t="str">
        <f t="shared" si="4"/>
        <v>Long Shot</v>
      </c>
      <c r="W56" s="19" t="str">
        <f t="shared" si="5"/>
        <v>Long Shot</v>
      </c>
      <c r="X56" s="7" t="str">
        <f t="shared" si="6"/>
        <v/>
      </c>
      <c r="Y56" s="7"/>
      <c r="Z56" s="7"/>
    </row>
    <row r="57">
      <c r="A57" s="17">
        <v>54.0</v>
      </c>
      <c r="B57" s="19" t="s">
        <v>473</v>
      </c>
      <c r="C57" s="19" t="s">
        <v>475</v>
      </c>
      <c r="D57" s="19" t="s">
        <v>35</v>
      </c>
      <c r="E57" s="19" t="s">
        <v>546</v>
      </c>
      <c r="F57" s="47" t="str">
        <f t="shared" si="7"/>
        <v>Lean</v>
      </c>
      <c r="G57" s="19" t="s">
        <v>32</v>
      </c>
      <c r="H57" s="19" t="s">
        <v>45</v>
      </c>
      <c r="I57" s="19" t="s">
        <v>32</v>
      </c>
      <c r="J57" s="19" t="s">
        <v>45</v>
      </c>
      <c r="K57" s="19" t="s">
        <v>32</v>
      </c>
      <c r="L57" s="7"/>
      <c r="M57" s="19" t="s">
        <v>45</v>
      </c>
      <c r="N57" s="17">
        <v>33.98</v>
      </c>
      <c r="O57" s="17">
        <f t="array" ref="O57">_xlfn.XLOOKUP(B57, 'Assembly Competitiveness'!$B$4:$B$120,'Assembly Competitiveness'!$O$4:$O$120, "-")</f>
        <v>21.12</v>
      </c>
      <c r="P57" s="17">
        <f t="array" ref="P57">_xlfn.XLOOKUP(B57,'Assembly Volatality'!$B$4:$B$120,'Assembly Volatality'!$L$4:$L$120, "-")</f>
        <v>59.33</v>
      </c>
      <c r="Q57" s="17">
        <f t="shared" si="9"/>
        <v>48.2</v>
      </c>
      <c r="R57" s="19" t="s">
        <v>45</v>
      </c>
      <c r="S57" s="7"/>
      <c r="T57" s="7" t="str">
        <f t="shared" si="8"/>
        <v>Defend</v>
      </c>
      <c r="U57" s="7" t="str">
        <f t="shared" si="3"/>
        <v>Expand</v>
      </c>
      <c r="V57" s="7" t="str">
        <f t="shared" si="4"/>
        <v>Long Shot</v>
      </c>
      <c r="W57" s="19" t="str">
        <f t="shared" si="5"/>
        <v>Long Shot</v>
      </c>
      <c r="X57" s="7" t="str">
        <f t="shared" si="6"/>
        <v/>
      </c>
      <c r="Y57" s="7"/>
      <c r="Z57" s="7"/>
    </row>
    <row r="58">
      <c r="A58" s="17">
        <v>55.0</v>
      </c>
      <c r="B58" s="19" t="s">
        <v>475</v>
      </c>
      <c r="C58" s="19" t="s">
        <v>475</v>
      </c>
      <c r="D58" s="19" t="s">
        <v>35</v>
      </c>
      <c r="E58" s="19" t="s">
        <v>550</v>
      </c>
      <c r="F58" s="47" t="str">
        <f t="shared" si="7"/>
        <v>Lean</v>
      </c>
      <c r="G58" s="19" t="s">
        <v>32</v>
      </c>
      <c r="H58" s="19" t="s">
        <v>45</v>
      </c>
      <c r="I58" s="19" t="s">
        <v>32</v>
      </c>
      <c r="J58" s="19" t="s">
        <v>45</v>
      </c>
      <c r="K58" s="19" t="s">
        <v>32</v>
      </c>
      <c r="L58" s="7"/>
      <c r="M58" s="19" t="s">
        <v>45</v>
      </c>
      <c r="N58" s="17">
        <v>25.81</v>
      </c>
      <c r="O58" s="17">
        <f t="array" ref="O58">_xlfn.XLOOKUP(B58, 'Assembly Competitiveness'!$B$4:$B$120,'Assembly Competitiveness'!$O$4:$O$120, "-")</f>
        <v>3.374</v>
      </c>
      <c r="P58" s="17">
        <f t="array" ref="P58">_xlfn.XLOOKUP(B58,'Assembly Volatality'!$B$4:$B$120,'Assembly Volatality'!$L$4:$L$120, "-")</f>
        <v>41.99</v>
      </c>
      <c r="Q58" s="17">
        <f t="shared" si="9"/>
        <v>33.3</v>
      </c>
      <c r="R58" s="19" t="s">
        <v>45</v>
      </c>
      <c r="S58" s="7"/>
      <c r="T58" s="7" t="str">
        <f t="shared" si="8"/>
        <v>Defend</v>
      </c>
      <c r="U58" s="7" t="str">
        <f t="shared" si="3"/>
        <v>Expand</v>
      </c>
      <c r="V58" s="7" t="str">
        <f t="shared" si="4"/>
        <v>Long Shot</v>
      </c>
      <c r="W58" s="19" t="str">
        <f t="shared" si="5"/>
        <v>Long Shot</v>
      </c>
      <c r="X58" s="7" t="str">
        <f t="shared" si="6"/>
        <v/>
      </c>
      <c r="Y58" s="7"/>
      <c r="Z58" s="7"/>
    </row>
    <row r="59">
      <c r="A59" s="17">
        <v>56.0</v>
      </c>
      <c r="B59" s="19" t="s">
        <v>476</v>
      </c>
      <c r="C59" s="19" t="s">
        <v>475</v>
      </c>
      <c r="D59" s="19" t="s">
        <v>35</v>
      </c>
      <c r="E59" s="19" t="s">
        <v>558</v>
      </c>
      <c r="F59" s="46" t="str">
        <f t="shared" si="7"/>
        <v>Battleground</v>
      </c>
      <c r="G59" s="19" t="s">
        <v>32</v>
      </c>
      <c r="H59" s="19" t="s">
        <v>45</v>
      </c>
      <c r="I59" s="19" t="s">
        <v>32</v>
      </c>
      <c r="J59" s="19" t="s">
        <v>45</v>
      </c>
      <c r="K59" s="19" t="s">
        <v>45</v>
      </c>
      <c r="L59" s="7"/>
      <c r="M59" s="19" t="s">
        <v>51</v>
      </c>
      <c r="N59" s="17">
        <v>21.74</v>
      </c>
      <c r="O59" s="17">
        <f t="array" ref="O59">_xlfn.XLOOKUP(B59, 'Assembly Competitiveness'!$B$4:$B$120,'Assembly Competitiveness'!$O$4:$O$120, "-")</f>
        <v>33.796</v>
      </c>
      <c r="P59" s="17">
        <f t="array" ref="P59">_xlfn.XLOOKUP(B59,'Assembly Volatality'!$B$4:$B$120,'Assembly Volatality'!$L$4:$L$120, "-")</f>
        <v>62.59</v>
      </c>
      <c r="Q59" s="17">
        <f t="shared" si="9"/>
        <v>40.2</v>
      </c>
      <c r="R59" s="19" t="s">
        <v>51</v>
      </c>
      <c r="S59" s="19" t="s">
        <v>149</v>
      </c>
      <c r="T59" s="7" t="str">
        <f t="shared" si="8"/>
        <v>Battleground</v>
      </c>
      <c r="U59" s="7" t="str">
        <f t="shared" si="3"/>
        <v>Expand</v>
      </c>
      <c r="V59" s="7" t="str">
        <f t="shared" si="4"/>
        <v>Battleground</v>
      </c>
      <c r="W59" s="19" t="str">
        <f t="shared" si="5"/>
        <v>Long Shot</v>
      </c>
      <c r="X59" s="7" t="str">
        <f t="shared" si="6"/>
        <v>YES</v>
      </c>
      <c r="Y59" s="7"/>
      <c r="Z59" s="7"/>
    </row>
    <row r="60">
      <c r="A60" s="17">
        <v>57.0</v>
      </c>
      <c r="B60" s="19" t="s">
        <v>477</v>
      </c>
      <c r="C60" s="19" t="s">
        <v>519</v>
      </c>
      <c r="D60" s="19" t="s">
        <v>35</v>
      </c>
      <c r="E60" s="19" t="s">
        <v>560</v>
      </c>
      <c r="F60" s="47" t="str">
        <f t="shared" si="7"/>
        <v>Lean</v>
      </c>
      <c r="G60" s="19" t="s">
        <v>32</v>
      </c>
      <c r="H60" s="19" t="s">
        <v>45</v>
      </c>
      <c r="I60" s="19" t="s">
        <v>32</v>
      </c>
      <c r="J60" s="19" t="s">
        <v>45</v>
      </c>
      <c r="K60" s="19" t="s">
        <v>32</v>
      </c>
      <c r="L60" s="7"/>
      <c r="M60" s="19" t="s">
        <v>51</v>
      </c>
      <c r="N60" s="17">
        <v>27.85</v>
      </c>
      <c r="O60" s="17">
        <f t="array" ref="O60">_xlfn.XLOOKUP(B60, 'Assembly Competitiveness'!$B$4:$B$120,'Assembly Competitiveness'!$O$4:$O$120, "-")</f>
        <v>8.208</v>
      </c>
      <c r="P60" s="17">
        <f t="array" ref="P60">_xlfn.XLOOKUP(B60,'Assembly Volatality'!$B$4:$B$120,'Assembly Volatality'!$L$4:$L$120, "-")</f>
        <v>45.15</v>
      </c>
      <c r="Q60" s="17">
        <f t="shared" si="9"/>
        <v>36.8</v>
      </c>
      <c r="R60" s="19" t="s">
        <v>51</v>
      </c>
      <c r="S60" s="7"/>
      <c r="T60" s="7" t="str">
        <f t="shared" si="8"/>
        <v>Defend</v>
      </c>
      <c r="U60" s="7" t="str">
        <f t="shared" si="3"/>
        <v>Long Shot</v>
      </c>
      <c r="V60" s="7" t="str">
        <f t="shared" si="4"/>
        <v>Expand</v>
      </c>
      <c r="W60" s="19" t="str">
        <f t="shared" si="5"/>
        <v>Long Shot</v>
      </c>
      <c r="X60" s="7" t="str">
        <f t="shared" si="6"/>
        <v/>
      </c>
      <c r="Y60" s="7"/>
      <c r="Z60" s="7"/>
    </row>
    <row r="61">
      <c r="A61" s="17">
        <v>58.0</v>
      </c>
      <c r="B61" s="19" t="s">
        <v>478</v>
      </c>
      <c r="C61" s="19" t="s">
        <v>519</v>
      </c>
      <c r="D61" s="19" t="s">
        <v>35</v>
      </c>
      <c r="E61" s="19" t="s">
        <v>561</v>
      </c>
      <c r="F61" s="46" t="str">
        <f t="shared" si="7"/>
        <v>Battleground</v>
      </c>
      <c r="G61" s="19" t="s">
        <v>32</v>
      </c>
      <c r="H61" s="19" t="s">
        <v>45</v>
      </c>
      <c r="I61" s="19" t="s">
        <v>32</v>
      </c>
      <c r="J61" s="19" t="s">
        <v>45</v>
      </c>
      <c r="K61" s="19" t="s">
        <v>45</v>
      </c>
      <c r="L61" s="7"/>
      <c r="M61" s="19" t="s">
        <v>51</v>
      </c>
      <c r="N61" s="17">
        <v>23.3</v>
      </c>
      <c r="O61" s="17">
        <f t="array" ref="O61">_xlfn.XLOOKUP(B61, 'Assembly Competitiveness'!$B$4:$B$120,'Assembly Competitiveness'!$O$4:$O$120, "-")</f>
        <v>27.812</v>
      </c>
      <c r="P61" s="17">
        <f t="array" ref="P61">_xlfn.XLOOKUP(B61,'Assembly Volatality'!$B$4:$B$120,'Assembly Volatality'!$L$4:$L$120, "-")</f>
        <v>59.44</v>
      </c>
      <c r="Q61" s="17">
        <f t="shared" si="9"/>
        <v>36.3</v>
      </c>
      <c r="R61" s="19" t="s">
        <v>51</v>
      </c>
      <c r="S61" s="19" t="s">
        <v>149</v>
      </c>
      <c r="T61" s="7" t="str">
        <f t="shared" si="8"/>
        <v>Battleground</v>
      </c>
      <c r="U61" s="7" t="str">
        <f t="shared" si="3"/>
        <v>Expand</v>
      </c>
      <c r="V61" s="7" t="str">
        <f t="shared" si="4"/>
        <v>Battleground</v>
      </c>
      <c r="W61" s="19" t="str">
        <f t="shared" si="5"/>
        <v>Long Shot</v>
      </c>
      <c r="X61" s="7" t="str">
        <f t="shared" si="6"/>
        <v>YES</v>
      </c>
      <c r="Y61" s="7"/>
      <c r="Z61" s="7"/>
    </row>
    <row r="62">
      <c r="A62" s="17">
        <v>59.0</v>
      </c>
      <c r="B62" s="19" t="s">
        <v>320</v>
      </c>
      <c r="C62" s="19" t="s">
        <v>519</v>
      </c>
      <c r="D62" s="19" t="s">
        <v>35</v>
      </c>
      <c r="E62" s="19" t="s">
        <v>563</v>
      </c>
      <c r="F62" s="46" t="str">
        <f t="shared" si="7"/>
        <v>Battleground</v>
      </c>
      <c r="G62" s="19" t="s">
        <v>32</v>
      </c>
      <c r="H62" s="19" t="s">
        <v>51</v>
      </c>
      <c r="I62" s="19" t="s">
        <v>32</v>
      </c>
      <c r="J62" s="19" t="s">
        <v>51</v>
      </c>
      <c r="K62" s="19" t="s">
        <v>45</v>
      </c>
      <c r="L62" s="7"/>
      <c r="M62" s="19" t="s">
        <v>45</v>
      </c>
      <c r="N62" s="17">
        <v>8.51</v>
      </c>
      <c r="O62" s="17">
        <f t="array" ref="O62">_xlfn.XLOOKUP(B62, 'Assembly Competitiveness'!$B$4:$B$120,'Assembly Competitiveness'!$O$4:$O$120, "-")</f>
        <v>55.4205</v>
      </c>
      <c r="P62" s="17">
        <f t="array" ref="P62">_xlfn.XLOOKUP(B62,'Assembly Volatality'!$B$4:$B$120,'Assembly Volatality'!$L$4:$L$120, "-")</f>
        <v>53.74</v>
      </c>
      <c r="Q62" s="17">
        <f t="shared" si="9"/>
        <v>61.4</v>
      </c>
      <c r="R62" s="19" t="s">
        <v>45</v>
      </c>
      <c r="S62" s="19" t="s">
        <v>149</v>
      </c>
      <c r="T62" s="7" t="str">
        <f t="shared" si="8"/>
        <v>Battleground</v>
      </c>
      <c r="U62" s="7" t="str">
        <f t="shared" si="3"/>
        <v>Battleground</v>
      </c>
      <c r="V62" s="7" t="str">
        <f t="shared" si="4"/>
        <v>Long Shot</v>
      </c>
      <c r="W62" s="19" t="str">
        <f t="shared" si="5"/>
        <v>Long Shot</v>
      </c>
      <c r="X62" s="7" t="str">
        <f t="shared" si="6"/>
        <v/>
      </c>
      <c r="Y62" s="7"/>
      <c r="Z62" s="7"/>
    </row>
    <row r="63">
      <c r="A63" s="17">
        <v>60.0</v>
      </c>
      <c r="B63" s="19" t="s">
        <v>479</v>
      </c>
      <c r="C63" s="19" t="s">
        <v>519</v>
      </c>
      <c r="D63" s="19" t="s">
        <v>35</v>
      </c>
      <c r="E63" s="19" t="s">
        <v>564</v>
      </c>
      <c r="F63" s="25" t="str">
        <f t="shared" si="7"/>
        <v>Opposition Lean</v>
      </c>
      <c r="G63" s="19" t="s">
        <v>32</v>
      </c>
      <c r="H63" s="19" t="s">
        <v>45</v>
      </c>
      <c r="I63" s="19" t="s">
        <v>32</v>
      </c>
      <c r="J63" s="19" t="s">
        <v>45</v>
      </c>
      <c r="K63" s="19" t="s">
        <v>53</v>
      </c>
      <c r="L63" s="7"/>
      <c r="M63" s="19" t="s">
        <v>45</v>
      </c>
      <c r="N63" s="17">
        <v>25.0</v>
      </c>
      <c r="O63" s="17">
        <f t="array" ref="O63">_xlfn.XLOOKUP(B63, 'Assembly Competitiveness'!$B$4:$B$120,'Assembly Competitiveness'!$O$4:$O$120, "-")</f>
        <v>38.292</v>
      </c>
      <c r="P63" s="17">
        <f t="array" ref="P63">_xlfn.XLOOKUP(B63,'Assembly Volatality'!$B$4:$B$120,'Assembly Volatality'!$L$4:$L$120, "-")</f>
        <v>68.31</v>
      </c>
      <c r="Q63" s="17">
        <f t="shared" si="9"/>
        <v>59.6</v>
      </c>
      <c r="R63" s="19" t="s">
        <v>45</v>
      </c>
      <c r="S63" s="19" t="s">
        <v>149</v>
      </c>
      <c r="T63" s="7" t="str">
        <f t="shared" si="8"/>
        <v>Battleground</v>
      </c>
      <c r="U63" s="7" t="str">
        <f t="shared" si="3"/>
        <v>Battleground</v>
      </c>
      <c r="V63" s="7" t="str">
        <f t="shared" si="4"/>
        <v>Long Shot</v>
      </c>
      <c r="W63" s="19" t="str">
        <f t="shared" si="5"/>
        <v>Expand</v>
      </c>
      <c r="X63" s="7" t="str">
        <f t="shared" si="6"/>
        <v>YES</v>
      </c>
      <c r="Y63" s="7"/>
      <c r="Z63" s="7"/>
    </row>
    <row r="64">
      <c r="A64" s="17">
        <v>61.0</v>
      </c>
      <c r="B64" s="19" t="s">
        <v>481</v>
      </c>
      <c r="C64" s="19" t="s">
        <v>519</v>
      </c>
      <c r="D64" s="19" t="s">
        <v>35</v>
      </c>
      <c r="E64" s="19" t="s">
        <v>566</v>
      </c>
      <c r="F64" s="46" t="str">
        <f t="shared" si="7"/>
        <v>Battleground</v>
      </c>
      <c r="G64" s="19" t="s">
        <v>32</v>
      </c>
      <c r="H64" s="19" t="s">
        <v>287</v>
      </c>
      <c r="I64" s="19" t="s">
        <v>32</v>
      </c>
      <c r="J64" s="19" t="s">
        <v>287</v>
      </c>
      <c r="K64" s="19" t="s">
        <v>53</v>
      </c>
      <c r="L64" s="7"/>
      <c r="M64" s="19" t="s">
        <v>53</v>
      </c>
      <c r="N64" s="17">
        <v>24.92</v>
      </c>
      <c r="O64" s="17">
        <f t="array" ref="O64">_xlfn.XLOOKUP(B64, 'Assembly Competitiveness'!$B$4:$B$120,'Assembly Competitiveness'!$O$4:$O$120, "-")</f>
        <v>12.304</v>
      </c>
      <c r="P64" s="17">
        <f t="array" ref="P64">_xlfn.XLOOKUP(B64,'Assembly Volatality'!$B$4:$B$120,'Assembly Volatality'!$L$4:$L$120, "-")</f>
        <v>54</v>
      </c>
      <c r="Q64" s="17">
        <f t="shared" si="9"/>
        <v>42.1</v>
      </c>
      <c r="R64" s="19" t="s">
        <v>53</v>
      </c>
      <c r="S64" s="19" t="s">
        <v>149</v>
      </c>
      <c r="T64" s="7" t="str">
        <f t="shared" si="8"/>
        <v>Battleground</v>
      </c>
      <c r="U64" s="7" t="str">
        <f t="shared" si="3"/>
        <v>Long Shot</v>
      </c>
      <c r="V64" s="7" t="str">
        <f t="shared" si="4"/>
        <v>Long Shot</v>
      </c>
      <c r="W64" s="19" t="str">
        <f t="shared" si="5"/>
        <v>Battleground</v>
      </c>
      <c r="X64" s="7" t="str">
        <f t="shared" si="6"/>
        <v/>
      </c>
      <c r="Y64" s="7"/>
      <c r="Z64" s="7"/>
    </row>
    <row r="65">
      <c r="A65" s="17">
        <v>62.0</v>
      </c>
      <c r="B65" s="19" t="s">
        <v>482</v>
      </c>
      <c r="C65" s="19" t="s">
        <v>519</v>
      </c>
      <c r="D65" s="19" t="s">
        <v>35</v>
      </c>
      <c r="E65" s="19" t="s">
        <v>567</v>
      </c>
      <c r="F65" s="46" t="str">
        <f t="shared" si="7"/>
        <v>Battleground</v>
      </c>
      <c r="G65" s="19" t="s">
        <v>32</v>
      </c>
      <c r="H65" s="19" t="s">
        <v>287</v>
      </c>
      <c r="I65" s="19" t="s">
        <v>32</v>
      </c>
      <c r="J65" s="19" t="s">
        <v>287</v>
      </c>
      <c r="K65" s="19" t="s">
        <v>45</v>
      </c>
      <c r="L65" s="7"/>
      <c r="M65" s="19" t="s">
        <v>45</v>
      </c>
      <c r="N65" s="17">
        <v>15.68</v>
      </c>
      <c r="O65" s="17">
        <f t="array" ref="O65">_xlfn.XLOOKUP(B65, 'Assembly Competitiveness'!$B$4:$B$120,'Assembly Competitiveness'!$O$4:$O$120, "-")</f>
        <v>23.89</v>
      </c>
      <c r="P65" s="17">
        <f t="array" ref="P65">_xlfn.XLOOKUP(B65,'Assembly Volatality'!$B$4:$B$120,'Assembly Volatality'!$L$4:$L$120, "-")</f>
        <v>46.06</v>
      </c>
      <c r="Q65" s="17">
        <f t="shared" si="9"/>
        <v>44.2</v>
      </c>
      <c r="R65" s="19" t="s">
        <v>45</v>
      </c>
      <c r="S65" s="19" t="s">
        <v>149</v>
      </c>
      <c r="T65" s="7" t="str">
        <f t="shared" si="8"/>
        <v>Battleground</v>
      </c>
      <c r="U65" s="7" t="str">
        <f t="shared" si="3"/>
        <v>Battleground</v>
      </c>
      <c r="V65" s="7" t="str">
        <f t="shared" si="4"/>
        <v>Long Shot</v>
      </c>
      <c r="W65" s="19" t="str">
        <f t="shared" si="5"/>
        <v>Long Shot</v>
      </c>
      <c r="X65" s="7" t="str">
        <f t="shared" si="6"/>
        <v/>
      </c>
      <c r="Y65" s="7"/>
      <c r="Z65" s="7"/>
    </row>
    <row r="66">
      <c r="A66" s="17">
        <v>63.0</v>
      </c>
      <c r="B66" s="19" t="s">
        <v>303</v>
      </c>
      <c r="C66" s="19" t="s">
        <v>519</v>
      </c>
      <c r="D66" s="19" t="s">
        <v>35</v>
      </c>
      <c r="E66" s="19" t="s">
        <v>568</v>
      </c>
      <c r="F66" s="46" t="str">
        <f t="shared" si="7"/>
        <v>Battleground</v>
      </c>
      <c r="G66" s="19" t="s">
        <v>32</v>
      </c>
      <c r="H66" s="19" t="s">
        <v>45</v>
      </c>
      <c r="I66" s="19" t="s">
        <v>32</v>
      </c>
      <c r="J66" s="19" t="s">
        <v>45</v>
      </c>
      <c r="K66" s="19" t="s">
        <v>53</v>
      </c>
      <c r="L66" s="7"/>
      <c r="M66" s="19" t="s">
        <v>53</v>
      </c>
      <c r="N66" s="17">
        <v>4.92</v>
      </c>
      <c r="O66" s="17">
        <f t="array" ref="O66">_xlfn.XLOOKUP(B66, 'Assembly Competitiveness'!$B$4:$B$120,'Assembly Competitiveness'!$O$4:$O$120, "-")</f>
        <v>49.998</v>
      </c>
      <c r="P66" s="17">
        <f t="array" ref="P66">_xlfn.XLOOKUP(B66,'Assembly Volatality'!$B$4:$B$120,'Assembly Volatality'!$L$4:$L$120, "-")</f>
        <v>62.3</v>
      </c>
      <c r="Q66" s="17">
        <f t="shared" si="9"/>
        <v>62.4</v>
      </c>
      <c r="R66" s="19" t="s">
        <v>53</v>
      </c>
      <c r="S66" s="19" t="s">
        <v>149</v>
      </c>
      <c r="T66" s="7" t="str">
        <f t="shared" si="8"/>
        <v>Battleground</v>
      </c>
      <c r="U66" s="7" t="str">
        <f t="shared" si="3"/>
        <v>Long Shot</v>
      </c>
      <c r="V66" s="7" t="str">
        <f t="shared" si="4"/>
        <v>Long Shot</v>
      </c>
      <c r="W66" s="19" t="str">
        <f t="shared" si="5"/>
        <v>Battleground</v>
      </c>
      <c r="X66" s="7" t="str">
        <f t="shared" si="6"/>
        <v/>
      </c>
      <c r="Y66" s="7"/>
      <c r="Z66" s="7"/>
    </row>
    <row r="67">
      <c r="A67" s="17">
        <v>64.0</v>
      </c>
      <c r="B67" s="19" t="s">
        <v>220</v>
      </c>
      <c r="C67" s="19" t="s">
        <v>519</v>
      </c>
      <c r="D67" s="19" t="s">
        <v>35</v>
      </c>
      <c r="E67" s="19" t="s">
        <v>570</v>
      </c>
      <c r="F67" s="29" t="str">
        <f t="shared" si="7"/>
        <v>Highly Volatile</v>
      </c>
      <c r="G67" s="19" t="s">
        <v>32</v>
      </c>
      <c r="H67" s="19" t="s">
        <v>45</v>
      </c>
      <c r="I67" s="19" t="s">
        <v>32</v>
      </c>
      <c r="J67" s="19" t="s">
        <v>45</v>
      </c>
      <c r="K67" s="19" t="s">
        <v>53</v>
      </c>
      <c r="L67" s="22" t="s">
        <v>221</v>
      </c>
      <c r="M67" s="19" t="s">
        <v>45</v>
      </c>
      <c r="N67" s="17">
        <v>6.47</v>
      </c>
      <c r="O67" s="17">
        <f t="array" ref="O67">_xlfn.XLOOKUP(B67, 'Assembly Competitiveness'!$B$4:$B$120,'Assembly Competitiveness'!$O$4:$O$120, "-")</f>
        <v>54.3825</v>
      </c>
      <c r="P67" s="17">
        <f t="array" ref="P67">_xlfn.XLOOKUP(B67,'Assembly Volatality'!$B$4:$B$120,'Assembly Volatality'!$L$4:$L$120, "-")</f>
        <v>75.46</v>
      </c>
      <c r="Q67" s="17">
        <f t="shared" si="9"/>
        <v>69.7</v>
      </c>
      <c r="R67" s="19" t="s">
        <v>45</v>
      </c>
      <c r="S67" s="19" t="s">
        <v>149</v>
      </c>
      <c r="T67" s="7" t="str">
        <f t="shared" si="8"/>
        <v>Battleground</v>
      </c>
      <c r="U67" s="7" t="str">
        <f t="shared" si="3"/>
        <v>Battleground</v>
      </c>
      <c r="V67" s="7" t="str">
        <f t="shared" si="4"/>
        <v>Long Shot</v>
      </c>
      <c r="W67" s="19" t="str">
        <f t="shared" si="5"/>
        <v>Expand</v>
      </c>
      <c r="X67" s="7" t="str">
        <f t="shared" si="6"/>
        <v>YES</v>
      </c>
      <c r="Y67" s="7"/>
      <c r="Z67" s="7"/>
    </row>
    <row r="68">
      <c r="A68" s="17">
        <v>65.0</v>
      </c>
      <c r="B68" s="19" t="s">
        <v>483</v>
      </c>
      <c r="C68" s="19" t="s">
        <v>519</v>
      </c>
      <c r="D68" s="19" t="s">
        <v>35</v>
      </c>
      <c r="E68" s="19" t="s">
        <v>571</v>
      </c>
      <c r="F68" s="46" t="str">
        <f t="shared" si="7"/>
        <v>Battleground</v>
      </c>
      <c r="G68" s="19" t="s">
        <v>32</v>
      </c>
      <c r="H68" s="19" t="s">
        <v>45</v>
      </c>
      <c r="I68" s="19" t="s">
        <v>32</v>
      </c>
      <c r="J68" s="19" t="s">
        <v>45</v>
      </c>
      <c r="K68" s="19" t="s">
        <v>53</v>
      </c>
      <c r="L68" s="7"/>
      <c r="M68" s="19" t="s">
        <v>53</v>
      </c>
      <c r="N68" s="17">
        <v>12.23</v>
      </c>
      <c r="O68" s="17">
        <f t="array" ref="O68">_xlfn.XLOOKUP(B68, 'Assembly Competitiveness'!$B$4:$B$120,'Assembly Competitiveness'!$O$4:$O$120, "-")</f>
        <v>46.5505</v>
      </c>
      <c r="P68" s="17">
        <f t="array" ref="P68">_xlfn.XLOOKUP(B68,'Assembly Volatality'!$B$4:$B$120,'Assembly Volatality'!$L$4:$L$120, "-")</f>
        <v>54.44</v>
      </c>
      <c r="Q68" s="17">
        <f t="shared" si="9"/>
        <v>57.7</v>
      </c>
      <c r="R68" s="19" t="s">
        <v>53</v>
      </c>
      <c r="S68" s="19" t="s">
        <v>149</v>
      </c>
      <c r="T68" s="7" t="str">
        <f t="shared" si="8"/>
        <v>Battleground</v>
      </c>
      <c r="U68" s="7" t="str">
        <f t="shared" si="3"/>
        <v>Long Shot</v>
      </c>
      <c r="V68" s="7" t="str">
        <f t="shared" si="4"/>
        <v>Long Shot</v>
      </c>
      <c r="W68" s="19" t="str">
        <f t="shared" si="5"/>
        <v>Battleground</v>
      </c>
      <c r="X68" s="7" t="str">
        <f t="shared" si="6"/>
        <v/>
      </c>
      <c r="Y68" s="7"/>
      <c r="Z68" s="7"/>
    </row>
    <row r="69">
      <c r="A69" s="17">
        <v>66.0</v>
      </c>
      <c r="B69" s="19" t="s">
        <v>485</v>
      </c>
      <c r="C69" s="19" t="s">
        <v>519</v>
      </c>
      <c r="D69" s="19" t="s">
        <v>35</v>
      </c>
      <c r="E69" s="19" t="s">
        <v>572</v>
      </c>
      <c r="F69" s="29" t="str">
        <f t="shared" si="7"/>
        <v>Highly Volatile</v>
      </c>
      <c r="G69" s="19" t="s">
        <v>32</v>
      </c>
      <c r="H69" s="19" t="s">
        <v>45</v>
      </c>
      <c r="I69" s="19" t="s">
        <v>32</v>
      </c>
      <c r="J69" s="19" t="s">
        <v>287</v>
      </c>
      <c r="K69" s="19" t="s">
        <v>45</v>
      </c>
      <c r="L69" s="7"/>
      <c r="M69" s="19" t="s">
        <v>51</v>
      </c>
      <c r="N69" s="17">
        <v>31.59</v>
      </c>
      <c r="O69" s="17">
        <f t="array" ref="O69">_xlfn.XLOOKUP(B69, 'Assembly Competitiveness'!$B$4:$B$120,'Assembly Competitiveness'!$O$4:$O$120, "-")</f>
        <v>35.19</v>
      </c>
      <c r="P69" s="17">
        <f t="array" ref="P69">_xlfn.XLOOKUP(B69,'Assembly Volatality'!$B$4:$B$120,'Assembly Volatality'!$L$4:$L$120, "-")</f>
        <v>72.77</v>
      </c>
      <c r="Q69" s="17">
        <f t="shared" si="9"/>
        <v>44.9</v>
      </c>
      <c r="R69" s="19" t="s">
        <v>51</v>
      </c>
      <c r="S69" s="19" t="s">
        <v>149</v>
      </c>
      <c r="T69" s="7" t="str">
        <f t="shared" si="8"/>
        <v>Battleground</v>
      </c>
      <c r="U69" s="7" t="str">
        <f t="shared" si="3"/>
        <v>Expand</v>
      </c>
      <c r="V69" s="7" t="str">
        <f t="shared" si="4"/>
        <v>Battleground</v>
      </c>
      <c r="W69" s="19" t="str">
        <f t="shared" si="5"/>
        <v>Long Shot</v>
      </c>
      <c r="X69" s="7" t="str">
        <f t="shared" si="6"/>
        <v>YES</v>
      </c>
      <c r="Y69" s="7"/>
      <c r="Z69" s="7"/>
    </row>
    <row r="70">
      <c r="A70" s="17">
        <v>67.0</v>
      </c>
      <c r="B70" s="19" t="s">
        <v>486</v>
      </c>
      <c r="C70" s="19" t="s">
        <v>519</v>
      </c>
      <c r="D70" s="19" t="s">
        <v>35</v>
      </c>
      <c r="E70" s="19" t="s">
        <v>574</v>
      </c>
      <c r="F70" s="25" t="str">
        <f t="shared" si="7"/>
        <v>Opposition Lean</v>
      </c>
      <c r="G70" s="19" t="s">
        <v>32</v>
      </c>
      <c r="H70" s="19" t="s">
        <v>45</v>
      </c>
      <c r="I70" s="19" t="s">
        <v>32</v>
      </c>
      <c r="J70" s="19" t="s">
        <v>45</v>
      </c>
      <c r="K70" s="19" t="s">
        <v>45</v>
      </c>
      <c r="L70" s="7"/>
      <c r="M70" s="19" t="s">
        <v>45</v>
      </c>
      <c r="N70" s="17">
        <v>26.14</v>
      </c>
      <c r="O70" s="17">
        <f t="array" ref="O70">_xlfn.XLOOKUP(B70, 'Assembly Competitiveness'!$B$4:$B$120,'Assembly Competitiveness'!$O$4:$O$120, "-")</f>
        <v>17.44</v>
      </c>
      <c r="P70" s="17">
        <f t="array" ref="P70">_xlfn.XLOOKUP(B70,'Assembly Volatality'!$B$4:$B$120,'Assembly Volatality'!$L$4:$L$120, "-")</f>
        <v>55.33</v>
      </c>
      <c r="Q70" s="17">
        <f t="shared" si="9"/>
        <v>30</v>
      </c>
      <c r="R70" s="19" t="s">
        <v>45</v>
      </c>
      <c r="S70" s="19" t="s">
        <v>149</v>
      </c>
      <c r="T70" s="7" t="str">
        <f t="shared" si="8"/>
        <v>Battleground</v>
      </c>
      <c r="U70" s="7" t="str">
        <f t="shared" si="3"/>
        <v>Battleground</v>
      </c>
      <c r="V70" s="7" t="str">
        <f t="shared" si="4"/>
        <v>Long Shot</v>
      </c>
      <c r="W70" s="19" t="str">
        <f t="shared" si="5"/>
        <v>Long Shot</v>
      </c>
      <c r="X70" s="7" t="str">
        <f t="shared" si="6"/>
        <v/>
      </c>
      <c r="Y70" s="7"/>
      <c r="Z70" s="7"/>
    </row>
    <row r="71">
      <c r="A71" s="17">
        <v>68.0</v>
      </c>
      <c r="B71" s="19" t="s">
        <v>34</v>
      </c>
      <c r="C71" s="19" t="s">
        <v>519</v>
      </c>
      <c r="D71" s="19" t="s">
        <v>35</v>
      </c>
      <c r="E71" s="19" t="s">
        <v>575</v>
      </c>
      <c r="F71" s="29" t="str">
        <f t="shared" si="7"/>
        <v>Highly Volatile</v>
      </c>
      <c r="G71" s="19" t="s">
        <v>287</v>
      </c>
      <c r="H71" s="19" t="s">
        <v>32</v>
      </c>
      <c r="I71" s="19" t="s">
        <v>51</v>
      </c>
      <c r="J71" s="19" t="s">
        <v>287</v>
      </c>
      <c r="K71" s="19" t="s">
        <v>45</v>
      </c>
      <c r="L71" s="19" t="s">
        <v>576</v>
      </c>
      <c r="M71" s="19" t="s">
        <v>45</v>
      </c>
      <c r="N71" s="17">
        <v>4.1</v>
      </c>
      <c r="O71" s="17">
        <f t="array" ref="O71">_xlfn.XLOOKUP(B71, 'Assembly Competitiveness'!$B$4:$B$120,'Assembly Competitiveness'!$O$4:$O$120, "-")</f>
        <v>78.397</v>
      </c>
      <c r="P71" s="17">
        <f t="array" ref="P71">_xlfn.XLOOKUP(B71,'Assembly Volatality'!$B$4:$B$120,'Assembly Volatality'!$L$4:$L$120, "-")</f>
        <v>71.43</v>
      </c>
      <c r="Q71" s="17">
        <f t="shared" si="9"/>
        <v>78.9</v>
      </c>
      <c r="R71" s="19" t="s">
        <v>45</v>
      </c>
      <c r="S71" s="19" t="s">
        <v>149</v>
      </c>
      <c r="T71" s="7" t="str">
        <f t="shared" si="8"/>
        <v>Long Shot</v>
      </c>
      <c r="U71" s="7" t="str">
        <f t="shared" si="3"/>
        <v>Battleground</v>
      </c>
      <c r="V71" s="7" t="str">
        <f t="shared" si="4"/>
        <v>Long Shot</v>
      </c>
      <c r="W71" s="19" t="str">
        <f t="shared" si="5"/>
        <v>Long Shot</v>
      </c>
      <c r="X71" s="7" t="str">
        <f t="shared" si="6"/>
        <v/>
      </c>
      <c r="Y71" s="7"/>
      <c r="Z71" s="7"/>
    </row>
    <row r="72">
      <c r="A72" s="17">
        <v>69.0</v>
      </c>
      <c r="B72" s="19" t="s">
        <v>489</v>
      </c>
      <c r="C72" s="19" t="s">
        <v>519</v>
      </c>
      <c r="D72" s="19" t="s">
        <v>35</v>
      </c>
      <c r="E72" s="19" t="s">
        <v>577</v>
      </c>
      <c r="F72" s="29" t="str">
        <f t="shared" si="7"/>
        <v>Highly Volatile</v>
      </c>
      <c r="G72" s="19" t="s">
        <v>32</v>
      </c>
      <c r="H72" s="19" t="s">
        <v>32</v>
      </c>
      <c r="I72" s="19" t="s">
        <v>32</v>
      </c>
      <c r="J72" s="19" t="s">
        <v>45</v>
      </c>
      <c r="K72" s="19" t="s">
        <v>45</v>
      </c>
      <c r="L72" s="7"/>
      <c r="M72" s="19" t="s">
        <v>45</v>
      </c>
      <c r="N72" s="17">
        <v>24.6</v>
      </c>
      <c r="O72" s="17">
        <f t="array" ref="O72">_xlfn.XLOOKUP(B72, 'Assembly Competitiveness'!$B$4:$B$120,'Assembly Competitiveness'!$O$4:$O$120, "-")</f>
        <v>27.142</v>
      </c>
      <c r="P72" s="17">
        <f t="array" ref="P72">_xlfn.XLOOKUP(B72,'Assembly Volatality'!$B$4:$B$120,'Assembly Volatality'!$L$4:$L$120, "-")</f>
        <v>31.07</v>
      </c>
      <c r="Q72" s="17">
        <f t="shared" si="9"/>
        <v>39.6</v>
      </c>
      <c r="R72" s="19" t="s">
        <v>45</v>
      </c>
      <c r="S72" s="19" t="s">
        <v>149</v>
      </c>
      <c r="T72" s="7" t="str">
        <f t="shared" si="8"/>
        <v>Battleground</v>
      </c>
      <c r="U72" s="7" t="str">
        <f t="shared" si="3"/>
        <v>Battleground</v>
      </c>
      <c r="V72" s="7" t="str">
        <f t="shared" si="4"/>
        <v>Long Shot</v>
      </c>
      <c r="W72" s="19" t="str">
        <f t="shared" si="5"/>
        <v>Long Shot</v>
      </c>
      <c r="X72" s="7" t="str">
        <f t="shared" si="6"/>
        <v/>
      </c>
      <c r="Y72" s="7"/>
      <c r="Z72" s="7"/>
    </row>
    <row r="73">
      <c r="A73" s="17">
        <v>70.0</v>
      </c>
      <c r="B73" s="19" t="s">
        <v>491</v>
      </c>
      <c r="C73" s="19" t="s">
        <v>519</v>
      </c>
      <c r="D73" s="19" t="s">
        <v>35</v>
      </c>
      <c r="E73" s="19" t="s">
        <v>578</v>
      </c>
      <c r="F73" s="29" t="str">
        <f t="shared" si="7"/>
        <v>Highly Volatile</v>
      </c>
      <c r="G73" s="19" t="s">
        <v>32</v>
      </c>
      <c r="H73" s="19" t="s">
        <v>32</v>
      </c>
      <c r="I73" s="19" t="s">
        <v>32</v>
      </c>
      <c r="J73" s="19" t="s">
        <v>45</v>
      </c>
      <c r="K73" s="19" t="s">
        <v>45</v>
      </c>
      <c r="L73" s="7"/>
      <c r="M73" s="19" t="s">
        <v>51</v>
      </c>
      <c r="N73" s="17">
        <v>31.87</v>
      </c>
      <c r="O73" s="17">
        <f t="array" ref="O73">_xlfn.XLOOKUP(B73, 'Assembly Competitiveness'!$B$4:$B$120,'Assembly Competitiveness'!$O$4:$O$120, "-")</f>
        <v>16.162</v>
      </c>
      <c r="P73" s="17">
        <f t="array" ref="P73">_xlfn.XLOOKUP(B73,'Assembly Volatality'!$B$4:$B$120,'Assembly Volatality'!$L$4:$L$120, "-")</f>
        <v>31.8</v>
      </c>
      <c r="Q73" s="17">
        <f t="shared" si="9"/>
        <v>35</v>
      </c>
      <c r="R73" s="19" t="s">
        <v>51</v>
      </c>
      <c r="S73" s="19" t="s">
        <v>149</v>
      </c>
      <c r="T73" s="7" t="str">
        <f t="shared" si="8"/>
        <v>Battleground</v>
      </c>
      <c r="U73" s="7" t="str">
        <f t="shared" si="3"/>
        <v>Expand</v>
      </c>
      <c r="V73" s="7" t="str">
        <f t="shared" si="4"/>
        <v>Battleground</v>
      </c>
      <c r="W73" s="19" t="str">
        <f t="shared" si="5"/>
        <v>Long Shot</v>
      </c>
      <c r="X73" s="7" t="str">
        <f t="shared" si="6"/>
        <v>YES</v>
      </c>
      <c r="Y73" s="7"/>
      <c r="Z73" s="7"/>
    </row>
    <row r="74">
      <c r="A74" s="17">
        <v>71.0</v>
      </c>
      <c r="B74" s="19" t="s">
        <v>493</v>
      </c>
      <c r="C74" s="19" t="s">
        <v>495</v>
      </c>
      <c r="D74" s="19" t="s">
        <v>35</v>
      </c>
      <c r="E74" s="19" t="s">
        <v>579</v>
      </c>
      <c r="F74" s="29" t="str">
        <f t="shared" si="7"/>
        <v>Highly Volatile</v>
      </c>
      <c r="G74" s="19" t="s">
        <v>32</v>
      </c>
      <c r="H74" s="19" t="s">
        <v>32</v>
      </c>
      <c r="I74" s="19" t="s">
        <v>32</v>
      </c>
      <c r="J74" s="19" t="s">
        <v>45</v>
      </c>
      <c r="K74" s="19" t="s">
        <v>287</v>
      </c>
      <c r="L74" s="7"/>
      <c r="M74" s="19" t="s">
        <v>45</v>
      </c>
      <c r="N74" s="17">
        <v>27.07</v>
      </c>
      <c r="O74" s="17">
        <f t="array" ref="O74">_xlfn.XLOOKUP(B74, 'Assembly Competitiveness'!$B$4:$B$120,'Assembly Competitiveness'!$O$4:$O$120, "-")</f>
        <v>15.152</v>
      </c>
      <c r="P74" s="17">
        <f t="array" ref="P74">_xlfn.XLOOKUP(B74,'Assembly Volatality'!$B$4:$B$120,'Assembly Volatality'!$L$4:$L$120, "-")</f>
        <v>25.81</v>
      </c>
      <c r="Q74" s="17">
        <f t="shared" si="9"/>
        <v>32.1</v>
      </c>
      <c r="R74" s="19" t="s">
        <v>45</v>
      </c>
      <c r="S74" s="19" t="s">
        <v>149</v>
      </c>
      <c r="T74" s="7" t="str">
        <f t="shared" si="8"/>
        <v>Battleground</v>
      </c>
      <c r="U74" s="7" t="str">
        <f t="shared" si="3"/>
        <v>Battleground</v>
      </c>
      <c r="V74" s="7" t="str">
        <f t="shared" si="4"/>
        <v>Long Shot</v>
      </c>
      <c r="W74" s="19" t="str">
        <f t="shared" si="5"/>
        <v>Long Shot</v>
      </c>
      <c r="X74" s="7" t="str">
        <f t="shared" si="6"/>
        <v>YES</v>
      </c>
      <c r="Y74" s="7"/>
      <c r="Z74" s="7"/>
    </row>
    <row r="75">
      <c r="A75" s="17">
        <v>72.0</v>
      </c>
      <c r="B75" s="19" t="s">
        <v>494</v>
      </c>
      <c r="C75" s="19" t="s">
        <v>495</v>
      </c>
      <c r="D75" s="19" t="s">
        <v>35</v>
      </c>
      <c r="E75" s="19" t="s">
        <v>580</v>
      </c>
      <c r="F75" s="46" t="str">
        <f t="shared" si="7"/>
        <v>Battleground</v>
      </c>
      <c r="G75" s="19" t="s">
        <v>32</v>
      </c>
      <c r="H75" s="19" t="s">
        <v>45</v>
      </c>
      <c r="I75" s="19" t="s">
        <v>32</v>
      </c>
      <c r="J75" s="19" t="s">
        <v>45</v>
      </c>
      <c r="K75" s="19" t="s">
        <v>287</v>
      </c>
      <c r="L75" s="7"/>
      <c r="M75" s="19" t="s">
        <v>51</v>
      </c>
      <c r="N75" s="17">
        <v>25.56</v>
      </c>
      <c r="O75" s="17">
        <f t="array" ref="O75">_xlfn.XLOOKUP(B75, 'Assembly Competitiveness'!$B$4:$B$120,'Assembly Competitiveness'!$O$4:$O$120, "-")</f>
        <v>32.818</v>
      </c>
      <c r="P75" s="17">
        <f t="array" ref="P75">_xlfn.XLOOKUP(B75,'Assembly Volatality'!$B$4:$B$120,'Assembly Volatality'!$L$4:$L$120, "-")</f>
        <v>64.64</v>
      </c>
      <c r="Q75" s="17">
        <f t="shared" si="9"/>
        <v>55.6</v>
      </c>
      <c r="R75" s="19" t="s">
        <v>51</v>
      </c>
      <c r="S75" s="19" t="s">
        <v>149</v>
      </c>
      <c r="T75" s="7" t="str">
        <f t="shared" si="8"/>
        <v>Battleground</v>
      </c>
      <c r="U75" s="7" t="str">
        <f t="shared" si="3"/>
        <v>Long Shot</v>
      </c>
      <c r="V75" s="7" t="str">
        <f t="shared" si="4"/>
        <v>Battleground</v>
      </c>
      <c r="W75" s="19" t="str">
        <f t="shared" si="5"/>
        <v>Long Shot</v>
      </c>
      <c r="X75" s="7" t="str">
        <f t="shared" si="6"/>
        <v>YES</v>
      </c>
      <c r="Y75" s="7"/>
      <c r="Z75" s="7"/>
    </row>
    <row r="76">
      <c r="A76" s="17">
        <v>73.0</v>
      </c>
      <c r="B76" s="19" t="s">
        <v>495</v>
      </c>
      <c r="C76" s="19" t="s">
        <v>495</v>
      </c>
      <c r="D76" s="19" t="s">
        <v>35</v>
      </c>
      <c r="E76" s="19" t="s">
        <v>582</v>
      </c>
      <c r="F76" s="25" t="str">
        <f t="shared" si="7"/>
        <v>Opposition Lean</v>
      </c>
      <c r="G76" s="19" t="s">
        <v>32</v>
      </c>
      <c r="H76" s="19" t="s">
        <v>45</v>
      </c>
      <c r="I76" s="19" t="s">
        <v>32</v>
      </c>
      <c r="J76" s="19" t="s">
        <v>45</v>
      </c>
      <c r="K76" s="19" t="s">
        <v>287</v>
      </c>
      <c r="L76" s="7"/>
      <c r="M76" s="19" t="s">
        <v>45</v>
      </c>
      <c r="N76" s="17">
        <v>14.59</v>
      </c>
      <c r="O76" s="17">
        <f t="array" ref="O76">_xlfn.XLOOKUP(B76, 'Assembly Competitiveness'!$B$4:$B$120,'Assembly Competitiveness'!$O$4:$O$120, "-")</f>
        <v>46.3005</v>
      </c>
      <c r="P76" s="17">
        <f t="array" ref="P76">_xlfn.XLOOKUP(B76,'Assembly Volatality'!$B$4:$B$120,'Assembly Volatality'!$L$4:$L$120, "-")</f>
        <v>57.41</v>
      </c>
      <c r="Q76" s="17">
        <f t="shared" si="9"/>
        <v>58.8</v>
      </c>
      <c r="R76" s="19" t="s">
        <v>45</v>
      </c>
      <c r="S76" s="19" t="s">
        <v>149</v>
      </c>
      <c r="T76" s="7" t="str">
        <f t="shared" si="8"/>
        <v>Battleground</v>
      </c>
      <c r="U76" s="7" t="str">
        <f t="shared" si="3"/>
        <v>Battleground</v>
      </c>
      <c r="V76" s="7" t="str">
        <f t="shared" si="4"/>
        <v>Long Shot</v>
      </c>
      <c r="W76" s="19" t="str">
        <f t="shared" si="5"/>
        <v>Long Shot</v>
      </c>
      <c r="X76" s="7" t="str">
        <f t="shared" si="6"/>
        <v>YES</v>
      </c>
      <c r="Y76" s="7"/>
      <c r="Z76" s="7"/>
    </row>
    <row r="77">
      <c r="A77" s="17">
        <v>74.0</v>
      </c>
      <c r="B77" s="19" t="s">
        <v>496</v>
      </c>
      <c r="C77" s="19" t="s">
        <v>495</v>
      </c>
      <c r="D77" s="19" t="s">
        <v>35</v>
      </c>
      <c r="E77" s="19" t="s">
        <v>583</v>
      </c>
      <c r="F77" s="25" t="str">
        <f t="shared" si="7"/>
        <v>Opposition Lean</v>
      </c>
      <c r="G77" s="19" t="s">
        <v>32</v>
      </c>
      <c r="H77" s="19" t="s">
        <v>45</v>
      </c>
      <c r="I77" s="19" t="s">
        <v>32</v>
      </c>
      <c r="J77" s="19" t="s">
        <v>45</v>
      </c>
      <c r="K77" s="19" t="s">
        <v>287</v>
      </c>
      <c r="L77" s="7"/>
      <c r="M77" s="19" t="s">
        <v>45</v>
      </c>
      <c r="N77" s="17">
        <v>21.19</v>
      </c>
      <c r="O77" s="17">
        <f t="array" ref="O77">_xlfn.XLOOKUP(B77, 'Assembly Competitiveness'!$B$4:$B$120,'Assembly Competitiveness'!$O$4:$O$120, "-")</f>
        <v>16.72</v>
      </c>
      <c r="P77" s="17">
        <f t="array" ref="P77">_xlfn.XLOOKUP(B77,'Assembly Volatality'!$B$4:$B$120,'Assembly Volatality'!$L$4:$L$120, "-")</f>
        <v>49.75</v>
      </c>
      <c r="Q77" s="17">
        <f t="shared" si="9"/>
        <v>42.4</v>
      </c>
      <c r="R77" s="19" t="s">
        <v>45</v>
      </c>
      <c r="S77" s="19" t="s">
        <v>149</v>
      </c>
      <c r="T77" s="7" t="str">
        <f t="shared" si="8"/>
        <v>Battleground</v>
      </c>
      <c r="U77" s="7" t="str">
        <f t="shared" si="3"/>
        <v>Battleground</v>
      </c>
      <c r="V77" s="7" t="str">
        <f t="shared" si="4"/>
        <v>Long Shot</v>
      </c>
      <c r="W77" s="19" t="str">
        <f t="shared" si="5"/>
        <v>Long Shot</v>
      </c>
      <c r="X77" s="7" t="str">
        <f t="shared" si="6"/>
        <v>YES</v>
      </c>
      <c r="Y77" s="7"/>
      <c r="Z77" s="7"/>
    </row>
    <row r="78">
      <c r="A78" s="17">
        <v>75.0</v>
      </c>
      <c r="B78" s="19" t="s">
        <v>497</v>
      </c>
      <c r="C78" s="19" t="s">
        <v>562</v>
      </c>
      <c r="D78" s="19" t="s">
        <v>35</v>
      </c>
      <c r="E78" s="19" t="s">
        <v>585</v>
      </c>
      <c r="F78" s="46" t="str">
        <f t="shared" si="7"/>
        <v>Battleground</v>
      </c>
      <c r="G78" s="19" t="s">
        <v>32</v>
      </c>
      <c r="H78" s="19" t="s">
        <v>45</v>
      </c>
      <c r="I78" s="19" t="s">
        <v>32</v>
      </c>
      <c r="J78" s="19" t="s">
        <v>45</v>
      </c>
      <c r="K78" s="19" t="s">
        <v>287</v>
      </c>
      <c r="L78" s="7"/>
      <c r="M78" s="19" t="s">
        <v>51</v>
      </c>
      <c r="N78" s="17">
        <v>15.13</v>
      </c>
      <c r="O78" s="17">
        <f t="array" ref="O78">_xlfn.XLOOKUP(B78, 'Assembly Competitiveness'!$B$4:$B$120,'Assembly Competitiveness'!$O$4:$O$120, "-")</f>
        <v>25.7255</v>
      </c>
      <c r="P78" s="17">
        <f t="array" ref="P78">_xlfn.XLOOKUP(B78,'Assembly Volatality'!$B$4:$B$120,'Assembly Volatality'!$L$4:$L$120, "-")</f>
        <v>44.6</v>
      </c>
      <c r="Q78" s="17">
        <f t="shared" si="9"/>
        <v>44.4</v>
      </c>
      <c r="R78" s="19" t="s">
        <v>51</v>
      </c>
      <c r="S78" s="19" t="s">
        <v>149</v>
      </c>
      <c r="T78" s="7" t="str">
        <f t="shared" si="8"/>
        <v>Battleground</v>
      </c>
      <c r="U78" s="7" t="str">
        <f t="shared" si="3"/>
        <v>Long Shot</v>
      </c>
      <c r="V78" s="7" t="str">
        <f t="shared" si="4"/>
        <v>Battleground</v>
      </c>
      <c r="W78" s="19" t="str">
        <f t="shared" si="5"/>
        <v>Long Shot</v>
      </c>
      <c r="X78" s="7" t="str">
        <f t="shared" si="6"/>
        <v>YES</v>
      </c>
      <c r="Y78" s="7"/>
      <c r="Z78" s="7"/>
    </row>
    <row r="79">
      <c r="A79" s="17">
        <v>76.0</v>
      </c>
      <c r="B79" s="19" t="s">
        <v>499</v>
      </c>
      <c r="C79" s="19" t="s">
        <v>562</v>
      </c>
      <c r="D79" s="19" t="s">
        <v>35</v>
      </c>
      <c r="E79" s="19" t="s">
        <v>623</v>
      </c>
      <c r="F79" s="29" t="str">
        <f t="shared" si="7"/>
        <v>Highly Volatile</v>
      </c>
      <c r="G79" s="19" t="s">
        <v>32</v>
      </c>
      <c r="H79" s="19" t="s">
        <v>45</v>
      </c>
      <c r="I79" s="19" t="s">
        <v>32</v>
      </c>
      <c r="J79" s="19" t="s">
        <v>51</v>
      </c>
      <c r="K79" s="19" t="s">
        <v>53</v>
      </c>
      <c r="L79" s="7"/>
      <c r="M79" s="19" t="s">
        <v>45</v>
      </c>
      <c r="N79" s="17">
        <v>15.78</v>
      </c>
      <c r="O79" s="17">
        <f t="array" ref="O79">_xlfn.XLOOKUP(B79, 'Assembly Competitiveness'!$B$4:$B$120,'Assembly Competitiveness'!$O$4:$O$120, "-")</f>
        <v>22.687</v>
      </c>
      <c r="P79" s="17">
        <f t="array" ref="P79">_xlfn.XLOOKUP(B79,'Assembly Volatality'!$B$4:$B$120,'Assembly Volatality'!$L$4:$L$120, "-")</f>
        <v>49.85</v>
      </c>
      <c r="Q79" s="17">
        <f t="shared" si="9"/>
        <v>45.1</v>
      </c>
      <c r="R79" s="19" t="s">
        <v>45</v>
      </c>
      <c r="S79" s="19" t="s">
        <v>149</v>
      </c>
      <c r="T79" s="7" t="str">
        <f t="shared" si="8"/>
        <v>Battleground</v>
      </c>
      <c r="U79" s="7" t="str">
        <f t="shared" si="3"/>
        <v>Battleground</v>
      </c>
      <c r="V79" s="7" t="str">
        <f t="shared" si="4"/>
        <v>Long Shot</v>
      </c>
      <c r="W79" s="19" t="str">
        <f t="shared" si="5"/>
        <v>Expand</v>
      </c>
      <c r="X79" s="7" t="str">
        <f t="shared" si="6"/>
        <v>YES</v>
      </c>
      <c r="Y79" s="7"/>
      <c r="Z79" s="7"/>
    </row>
    <row r="80">
      <c r="A80" s="17">
        <v>77.0</v>
      </c>
      <c r="B80" s="19" t="s">
        <v>501</v>
      </c>
      <c r="C80" s="19" t="s">
        <v>562</v>
      </c>
      <c r="D80" s="19" t="s">
        <v>35</v>
      </c>
      <c r="E80" s="19" t="s">
        <v>658</v>
      </c>
      <c r="F80" s="29" t="str">
        <f t="shared" si="7"/>
        <v>Highly Volatile</v>
      </c>
      <c r="G80" s="19" t="s">
        <v>32</v>
      </c>
      <c r="H80" s="19" t="s">
        <v>45</v>
      </c>
      <c r="I80" s="19" t="s">
        <v>32</v>
      </c>
      <c r="J80" s="19" t="s">
        <v>51</v>
      </c>
      <c r="K80" s="19" t="s">
        <v>51</v>
      </c>
      <c r="L80" s="7"/>
      <c r="M80" s="19" t="s">
        <v>51</v>
      </c>
      <c r="N80" s="17">
        <v>18.34</v>
      </c>
      <c r="O80" s="17">
        <f t="array" ref="O80">_xlfn.XLOOKUP(B80, 'Assembly Competitiveness'!$B$4:$B$120,'Assembly Competitiveness'!$O$4:$O$120, "-")</f>
        <v>21.863</v>
      </c>
      <c r="P80" s="17">
        <f t="array" ref="P80">_xlfn.XLOOKUP(B80,'Assembly Volatality'!$B$4:$B$120,'Assembly Volatality'!$L$4:$L$120, "-")</f>
        <v>51.29</v>
      </c>
      <c r="Q80" s="17">
        <f t="shared" si="9"/>
        <v>45.4</v>
      </c>
      <c r="R80" s="19" t="s">
        <v>51</v>
      </c>
      <c r="S80" s="19" t="s">
        <v>149</v>
      </c>
      <c r="T80" s="7" t="str">
        <f t="shared" si="8"/>
        <v>Battleground</v>
      </c>
      <c r="U80" s="7" t="str">
        <f t="shared" si="3"/>
        <v>Long Shot</v>
      </c>
      <c r="V80" s="7" t="str">
        <f t="shared" si="4"/>
        <v>Battleground</v>
      </c>
      <c r="W80" s="19" t="str">
        <f t="shared" si="5"/>
        <v>Long Shot</v>
      </c>
      <c r="X80" s="7" t="str">
        <f t="shared" si="6"/>
        <v/>
      </c>
      <c r="Y80" s="7"/>
      <c r="Z80" s="7"/>
    </row>
    <row r="81">
      <c r="A81" s="17">
        <v>78.0</v>
      </c>
      <c r="B81" s="19" t="s">
        <v>506</v>
      </c>
      <c r="C81" s="19" t="s">
        <v>562</v>
      </c>
      <c r="D81" s="19" t="s">
        <v>35</v>
      </c>
      <c r="E81" s="19" t="s">
        <v>661</v>
      </c>
      <c r="F81" s="29" t="str">
        <f t="shared" si="7"/>
        <v>Highly Volatile</v>
      </c>
      <c r="G81" s="19" t="s">
        <v>32</v>
      </c>
      <c r="H81" s="19" t="s">
        <v>45</v>
      </c>
      <c r="I81" s="19" t="s">
        <v>32</v>
      </c>
      <c r="J81" s="19" t="s">
        <v>51</v>
      </c>
      <c r="K81" s="19" t="s">
        <v>51</v>
      </c>
      <c r="L81" s="7"/>
      <c r="M81" s="19" t="s">
        <v>51</v>
      </c>
      <c r="N81" s="17">
        <v>7.61</v>
      </c>
      <c r="O81" s="17">
        <f t="array" ref="O81">_xlfn.XLOOKUP(B81, 'Assembly Competitiveness'!$B$4:$B$120,'Assembly Competitiveness'!$O$4:$O$120, "-")</f>
        <v>54.9855</v>
      </c>
      <c r="P81" s="17">
        <f t="array" ref="P81">_xlfn.XLOOKUP(B81,'Assembly Volatality'!$B$4:$B$120,'Assembly Volatality'!$L$4:$L$120, "-")</f>
        <v>49.52</v>
      </c>
      <c r="Q81" s="17">
        <f t="shared" si="9"/>
        <v>59.6</v>
      </c>
      <c r="R81" s="19" t="s">
        <v>51</v>
      </c>
      <c r="S81" s="19" t="s">
        <v>149</v>
      </c>
      <c r="T81" s="7" t="str">
        <f t="shared" si="8"/>
        <v>Battleground</v>
      </c>
      <c r="U81" s="7" t="str">
        <f t="shared" si="3"/>
        <v>Long Shot</v>
      </c>
      <c r="V81" s="7" t="str">
        <f t="shared" si="4"/>
        <v>Battleground</v>
      </c>
      <c r="W81" s="19" t="str">
        <f t="shared" si="5"/>
        <v>Long Shot</v>
      </c>
      <c r="X81" s="7" t="str">
        <f t="shared" si="6"/>
        <v/>
      </c>
      <c r="Y81" s="7"/>
      <c r="Z81" s="7"/>
    </row>
    <row r="82">
      <c r="A82" s="17">
        <v>79.0</v>
      </c>
      <c r="B82" s="19" t="s">
        <v>508</v>
      </c>
      <c r="C82" s="19" t="s">
        <v>510</v>
      </c>
      <c r="D82" s="19" t="s">
        <v>35</v>
      </c>
      <c r="E82" s="19" t="s">
        <v>667</v>
      </c>
      <c r="F82" s="25" t="str">
        <f t="shared" si="7"/>
        <v>Opposition Lean</v>
      </c>
      <c r="G82" s="19" t="s">
        <v>32</v>
      </c>
      <c r="H82" s="19" t="s">
        <v>51</v>
      </c>
      <c r="I82" s="19" t="s">
        <v>32</v>
      </c>
      <c r="J82" s="19" t="s">
        <v>51</v>
      </c>
      <c r="K82" s="19" t="s">
        <v>45</v>
      </c>
      <c r="L82" s="7"/>
      <c r="M82" s="19" t="s">
        <v>51</v>
      </c>
      <c r="N82" s="17">
        <v>17.99</v>
      </c>
      <c r="O82" s="17">
        <f t="array" ref="O82">_xlfn.XLOOKUP(B82, 'Assembly Competitiveness'!$B$4:$B$120,'Assembly Competitiveness'!$O$4:$O$120, "-")</f>
        <v>26.2905</v>
      </c>
      <c r="P82" s="17">
        <f t="array" ref="P82">_xlfn.XLOOKUP(B82,'Assembly Volatality'!$B$4:$B$120,'Assembly Volatality'!$L$4:$L$120, "-")</f>
        <v>52.71</v>
      </c>
      <c r="Q82" s="17">
        <f t="shared" si="9"/>
        <v>47.9</v>
      </c>
      <c r="R82" s="19" t="s">
        <v>51</v>
      </c>
      <c r="S82" s="19" t="s">
        <v>149</v>
      </c>
      <c r="T82" s="7" t="str">
        <f t="shared" si="8"/>
        <v>Battleground</v>
      </c>
      <c r="U82" s="7" t="str">
        <f t="shared" si="3"/>
        <v>Expand</v>
      </c>
      <c r="V82" s="7" t="str">
        <f t="shared" si="4"/>
        <v>Battleground</v>
      </c>
      <c r="W82" s="19" t="str">
        <f t="shared" si="5"/>
        <v>Long Shot</v>
      </c>
      <c r="X82" s="7" t="str">
        <f t="shared" si="6"/>
        <v>YES</v>
      </c>
      <c r="Y82" s="7"/>
      <c r="Z82" s="7"/>
    </row>
    <row r="83">
      <c r="A83" s="17">
        <v>80.0</v>
      </c>
      <c r="B83" s="19" t="s">
        <v>510</v>
      </c>
      <c r="C83" s="19" t="s">
        <v>510</v>
      </c>
      <c r="D83" s="19" t="s">
        <v>35</v>
      </c>
      <c r="E83" s="19" t="s">
        <v>670</v>
      </c>
      <c r="F83" s="29" t="str">
        <f t="shared" si="7"/>
        <v>Highly Volatile</v>
      </c>
      <c r="G83" s="19" t="s">
        <v>32</v>
      </c>
      <c r="H83" s="19" t="s">
        <v>45</v>
      </c>
      <c r="I83" s="19" t="s">
        <v>32</v>
      </c>
      <c r="J83" s="19" t="s">
        <v>51</v>
      </c>
      <c r="K83" s="19" t="s">
        <v>45</v>
      </c>
      <c r="L83" s="7"/>
      <c r="M83" s="19" t="s">
        <v>53</v>
      </c>
      <c r="N83" s="17">
        <v>19.19</v>
      </c>
      <c r="O83" s="17">
        <f t="array" ref="O83">_xlfn.XLOOKUP(B83, 'Assembly Competitiveness'!$B$4:$B$120,'Assembly Competitiveness'!$O$4:$O$120, "-")</f>
        <v>39.2325</v>
      </c>
      <c r="P83" s="17">
        <f t="array" ref="P83">_xlfn.XLOOKUP(B83,'Assembly Volatality'!$B$4:$B$120,'Assembly Volatality'!$L$4:$L$120, "-")</f>
        <v>64.12</v>
      </c>
      <c r="Q83" s="17">
        <f t="shared" si="9"/>
        <v>43.3</v>
      </c>
      <c r="R83" s="19" t="s">
        <v>53</v>
      </c>
      <c r="S83" s="19" t="s">
        <v>149</v>
      </c>
      <c r="T83" s="7" t="str">
        <f t="shared" si="8"/>
        <v>Battleground</v>
      </c>
      <c r="U83" s="7" t="str">
        <f t="shared" si="3"/>
        <v>Expand</v>
      </c>
      <c r="V83" s="7" t="str">
        <f t="shared" si="4"/>
        <v>Long Shot</v>
      </c>
      <c r="W83" s="19" t="str">
        <f t="shared" si="5"/>
        <v>Battleground</v>
      </c>
      <c r="X83" s="7" t="str">
        <f t="shared" si="6"/>
        <v>YES</v>
      </c>
      <c r="Y83" s="7"/>
      <c r="Z83" s="7"/>
    </row>
    <row r="84">
      <c r="A84" s="17">
        <v>81.0</v>
      </c>
      <c r="B84" s="19" t="s">
        <v>270</v>
      </c>
      <c r="C84" s="19" t="s">
        <v>510</v>
      </c>
      <c r="D84" s="19" t="s">
        <v>35</v>
      </c>
      <c r="E84" s="19" t="s">
        <v>679</v>
      </c>
      <c r="F84" s="29" t="str">
        <f t="shared" si="7"/>
        <v>Highly Volatile</v>
      </c>
      <c r="G84" s="19" t="s">
        <v>45</v>
      </c>
      <c r="H84" s="19" t="s">
        <v>53</v>
      </c>
      <c r="I84" s="19" t="s">
        <v>45</v>
      </c>
      <c r="J84" s="19" t="s">
        <v>51</v>
      </c>
      <c r="K84" s="19" t="s">
        <v>53</v>
      </c>
      <c r="L84" s="7"/>
      <c r="M84" s="19" t="s">
        <v>32</v>
      </c>
      <c r="N84" s="17">
        <v>4.13</v>
      </c>
      <c r="O84" s="17">
        <f t="array" ref="O84">_xlfn.XLOOKUP(B84, 'Assembly Competitiveness'!$B$4:$B$120,'Assembly Competitiveness'!$O$4:$O$120, "-")</f>
        <v>63.6495</v>
      </c>
      <c r="P84" s="17">
        <f t="array" ref="P84">_xlfn.XLOOKUP(B84,'Assembly Volatality'!$B$4:$B$120,'Assembly Volatality'!$L$4:$L$120, "-")</f>
        <v>44.62</v>
      </c>
      <c r="Q84" s="17">
        <f t="shared" si="9"/>
        <v>46.5</v>
      </c>
      <c r="R84" s="19" t="s">
        <v>32</v>
      </c>
      <c r="S84" s="19" t="s">
        <v>149</v>
      </c>
      <c r="T84" s="7" t="str">
        <f t="shared" si="8"/>
        <v>Battleground</v>
      </c>
      <c r="U84" s="7" t="str">
        <f t="shared" si="3"/>
        <v>Battleground</v>
      </c>
      <c r="V84" s="7" t="str">
        <f t="shared" si="4"/>
        <v>Long Shot</v>
      </c>
      <c r="W84" s="19" t="str">
        <f t="shared" si="5"/>
        <v>Expand</v>
      </c>
      <c r="X84" s="7" t="str">
        <f t="shared" si="6"/>
        <v>YES</v>
      </c>
      <c r="Y84" s="7"/>
      <c r="Z84" s="7"/>
    </row>
    <row r="85">
      <c r="A85" s="17">
        <v>82.0</v>
      </c>
      <c r="B85" s="19" t="s">
        <v>512</v>
      </c>
      <c r="C85" s="19" t="s">
        <v>510</v>
      </c>
      <c r="D85" s="19" t="s">
        <v>35</v>
      </c>
      <c r="E85" s="19" t="s">
        <v>680</v>
      </c>
      <c r="F85" s="29" t="str">
        <f t="shared" si="7"/>
        <v>Highly Volatile</v>
      </c>
      <c r="G85" s="19" t="s">
        <v>32</v>
      </c>
      <c r="H85" s="19" t="s">
        <v>45</v>
      </c>
      <c r="I85" s="19" t="s">
        <v>32</v>
      </c>
      <c r="J85" s="19" t="s">
        <v>51</v>
      </c>
      <c r="K85" s="19" t="s">
        <v>53</v>
      </c>
      <c r="L85" s="7"/>
      <c r="M85" s="19" t="s">
        <v>53</v>
      </c>
      <c r="N85" s="17">
        <v>13.43</v>
      </c>
      <c r="O85" s="17">
        <f t="array" ref="O85">_xlfn.XLOOKUP(B85, 'Assembly Competitiveness'!$B$4:$B$120,'Assembly Competitiveness'!$O$4:$O$120, "-")</f>
        <v>34.8805</v>
      </c>
      <c r="P85" s="17">
        <f t="array" ref="P85">_xlfn.XLOOKUP(B85,'Assembly Volatality'!$B$4:$B$120,'Assembly Volatality'!$L$4:$L$120, "-")</f>
        <v>47.2</v>
      </c>
      <c r="Q85" s="17">
        <f t="shared" si="9"/>
        <v>49.6</v>
      </c>
      <c r="R85" s="19" t="s">
        <v>53</v>
      </c>
      <c r="S85" s="19" t="s">
        <v>149</v>
      </c>
      <c r="T85" s="7" t="str">
        <f t="shared" si="8"/>
        <v>Battleground</v>
      </c>
      <c r="U85" s="7" t="str">
        <f t="shared" si="3"/>
        <v>Long Shot</v>
      </c>
      <c r="V85" s="7" t="str">
        <f t="shared" si="4"/>
        <v>Long Shot</v>
      </c>
      <c r="W85" s="19" t="str">
        <f t="shared" si="5"/>
        <v>Battleground</v>
      </c>
      <c r="X85" s="7" t="str">
        <f t="shared" si="6"/>
        <v/>
      </c>
      <c r="Y85" s="7"/>
      <c r="Z85" s="7"/>
    </row>
    <row r="86">
      <c r="A86" s="17">
        <v>83.0</v>
      </c>
      <c r="B86" s="19" t="s">
        <v>513</v>
      </c>
      <c r="C86" s="19" t="s">
        <v>569</v>
      </c>
      <c r="D86" s="19" t="s">
        <v>35</v>
      </c>
      <c r="E86" s="19" t="s">
        <v>681</v>
      </c>
      <c r="F86" s="25" t="str">
        <f t="shared" si="7"/>
        <v>Opposition Lean</v>
      </c>
      <c r="G86" s="19" t="s">
        <v>32</v>
      </c>
      <c r="H86" s="19" t="s">
        <v>51</v>
      </c>
      <c r="I86" s="19" t="s">
        <v>32</v>
      </c>
      <c r="J86" s="19" t="s">
        <v>51</v>
      </c>
      <c r="K86" s="19" t="s">
        <v>51</v>
      </c>
      <c r="L86" s="7"/>
      <c r="M86" s="19" t="s">
        <v>51</v>
      </c>
      <c r="N86" s="17">
        <v>8.47</v>
      </c>
      <c r="O86" s="17">
        <f t="array" ref="O86">_xlfn.XLOOKUP(B86, 'Assembly Competitiveness'!$B$4:$B$120,'Assembly Competitiveness'!$O$4:$O$120, "-")</f>
        <v>42.2765</v>
      </c>
      <c r="P86" s="17">
        <f t="array" ref="P86">_xlfn.XLOOKUP(B86,'Assembly Volatality'!$B$4:$B$120,'Assembly Volatality'!$L$4:$L$120, "-")</f>
        <v>51.8</v>
      </c>
      <c r="Q86" s="17">
        <f t="shared" si="9"/>
        <v>39.7</v>
      </c>
      <c r="R86" s="19" t="s">
        <v>51</v>
      </c>
      <c r="S86" s="19" t="s">
        <v>149</v>
      </c>
      <c r="T86" s="7" t="str">
        <f t="shared" si="8"/>
        <v>Battleground</v>
      </c>
      <c r="U86" s="7" t="str">
        <f t="shared" si="3"/>
        <v>Long Shot</v>
      </c>
      <c r="V86" s="7" t="str">
        <f t="shared" si="4"/>
        <v>Battleground</v>
      </c>
      <c r="W86" s="19" t="str">
        <f t="shared" si="5"/>
        <v>Long Shot</v>
      </c>
      <c r="X86" s="7" t="str">
        <f t="shared" si="6"/>
        <v/>
      </c>
      <c r="Y86" s="7"/>
      <c r="Z86" s="7"/>
    </row>
    <row r="87">
      <c r="A87" s="17">
        <v>84.0</v>
      </c>
      <c r="B87" s="19" t="s">
        <v>148</v>
      </c>
      <c r="C87" s="19" t="s">
        <v>569</v>
      </c>
      <c r="D87" s="19" t="s">
        <v>35</v>
      </c>
      <c r="E87" s="19" t="s">
        <v>682</v>
      </c>
      <c r="F87" s="29" t="str">
        <f t="shared" si="7"/>
        <v>Highly Volatile</v>
      </c>
      <c r="G87" s="19" t="s">
        <v>32</v>
      </c>
      <c r="H87" s="19" t="s">
        <v>45</v>
      </c>
      <c r="I87" s="19" t="s">
        <v>45</v>
      </c>
      <c r="J87" s="19" t="s">
        <v>51</v>
      </c>
      <c r="K87" s="19" t="s">
        <v>287</v>
      </c>
      <c r="L87" s="22" t="s">
        <v>210</v>
      </c>
      <c r="M87" s="19" t="s">
        <v>51</v>
      </c>
      <c r="N87" s="17">
        <v>0.95</v>
      </c>
      <c r="O87" s="17">
        <f t="array" ref="O87">_xlfn.XLOOKUP(B87, 'Assembly Competitiveness'!$B$4:$B$120,'Assembly Competitiveness'!$O$4:$O$120, "-")</f>
        <v>80.4505</v>
      </c>
      <c r="P87" s="17">
        <f t="array" ref="P87">_xlfn.XLOOKUP(B87,'Assembly Volatality'!$B$4:$B$120,'Assembly Volatality'!$L$4:$L$120, "-")</f>
        <v>48.5</v>
      </c>
      <c r="Q87" s="17">
        <f t="shared" si="9"/>
        <v>70.6</v>
      </c>
      <c r="R87" s="19" t="s">
        <v>45</v>
      </c>
      <c r="S87" s="19" t="s">
        <v>149</v>
      </c>
      <c r="T87" s="7" t="str">
        <f t="shared" si="8"/>
        <v>Battleground</v>
      </c>
      <c r="U87" s="7" t="str">
        <f t="shared" si="3"/>
        <v>Battleground</v>
      </c>
      <c r="V87" s="7" t="str">
        <f t="shared" si="4"/>
        <v>Expand</v>
      </c>
      <c r="W87" s="19" t="str">
        <f t="shared" si="5"/>
        <v>Long Shot</v>
      </c>
      <c r="X87" s="7" t="str">
        <f t="shared" si="6"/>
        <v>YES</v>
      </c>
      <c r="Y87" s="7"/>
      <c r="Z87" s="7"/>
    </row>
    <row r="88">
      <c r="A88" s="17">
        <v>85.0</v>
      </c>
      <c r="B88" s="19" t="s">
        <v>514</v>
      </c>
      <c r="C88" s="19" t="s">
        <v>569</v>
      </c>
      <c r="D88" s="19" t="s">
        <v>35</v>
      </c>
      <c r="E88" s="19" t="s">
        <v>683</v>
      </c>
      <c r="F88" s="29" t="str">
        <f t="shared" si="7"/>
        <v>Highly Volatile</v>
      </c>
      <c r="G88" s="19" t="s">
        <v>32</v>
      </c>
      <c r="H88" s="19" t="s">
        <v>45</v>
      </c>
      <c r="I88" s="19" t="s">
        <v>32</v>
      </c>
      <c r="J88" s="19" t="s">
        <v>51</v>
      </c>
      <c r="K88" s="19" t="s">
        <v>51</v>
      </c>
      <c r="L88" s="7"/>
      <c r="M88" s="19" t="s">
        <v>51</v>
      </c>
      <c r="N88" s="17">
        <v>29.12</v>
      </c>
      <c r="O88" s="17">
        <f t="array" ref="O88">_xlfn.XLOOKUP(B88, 'Assembly Competitiveness'!$B$4:$B$120,'Assembly Competitiveness'!$O$4:$O$120, "-")</f>
        <v>36.31</v>
      </c>
      <c r="P88" s="17">
        <f t="array" ref="P88">_xlfn.XLOOKUP(B88,'Assembly Volatality'!$B$4:$B$120,'Assembly Volatality'!$L$4:$L$120, "-")</f>
        <v>68.42</v>
      </c>
      <c r="Q88" s="17">
        <f t="shared" si="9"/>
        <v>58.7</v>
      </c>
      <c r="R88" s="19" t="s">
        <v>51</v>
      </c>
      <c r="S88" s="19" t="s">
        <v>149</v>
      </c>
      <c r="T88" s="7" t="str">
        <f t="shared" si="8"/>
        <v>Battleground</v>
      </c>
      <c r="U88" s="7" t="str">
        <f t="shared" si="3"/>
        <v>Long Shot</v>
      </c>
      <c r="V88" s="7" t="str">
        <f t="shared" si="4"/>
        <v>Battleground</v>
      </c>
      <c r="W88" s="19" t="str">
        <f t="shared" si="5"/>
        <v>Long Shot</v>
      </c>
      <c r="X88" s="7" t="str">
        <f t="shared" si="6"/>
        <v/>
      </c>
      <c r="Y88" s="7"/>
      <c r="Z88" s="7"/>
    </row>
    <row r="89">
      <c r="A89" s="17">
        <v>86.0</v>
      </c>
      <c r="B89" s="19" t="s">
        <v>516</v>
      </c>
      <c r="C89" s="19" t="s">
        <v>569</v>
      </c>
      <c r="D89" s="19" t="s">
        <v>35</v>
      </c>
      <c r="E89" s="19" t="s">
        <v>685</v>
      </c>
      <c r="F89" s="47" t="str">
        <f t="shared" si="7"/>
        <v>Lean</v>
      </c>
      <c r="G89" s="19" t="s">
        <v>32</v>
      </c>
      <c r="H89" s="19" t="s">
        <v>51</v>
      </c>
      <c r="I89" s="19" t="s">
        <v>32</v>
      </c>
      <c r="J89" s="19" t="s">
        <v>51</v>
      </c>
      <c r="K89" s="19" t="s">
        <v>32</v>
      </c>
      <c r="L89" s="7"/>
      <c r="M89" s="19" t="s">
        <v>51</v>
      </c>
      <c r="N89" s="17">
        <v>23.02</v>
      </c>
      <c r="O89" s="17">
        <f t="array" ref="O89">_xlfn.XLOOKUP(B89, 'Assembly Competitiveness'!$B$4:$B$120,'Assembly Competitiveness'!$O$4:$O$120, "-")</f>
        <v>21.564</v>
      </c>
      <c r="P89" s="17">
        <f t="array" ref="P89">_xlfn.XLOOKUP(B89,'Assembly Volatality'!$B$4:$B$120,'Assembly Volatality'!$L$4:$L$120, "-")</f>
        <v>51.66</v>
      </c>
      <c r="Q89" s="17">
        <f t="shared" si="9"/>
        <v>45.4</v>
      </c>
      <c r="R89" s="19" t="s">
        <v>51</v>
      </c>
      <c r="S89" s="7"/>
      <c r="T89" s="7" t="str">
        <f t="shared" si="8"/>
        <v>Defend</v>
      </c>
      <c r="U89" s="7" t="str">
        <f t="shared" si="3"/>
        <v>Long Shot</v>
      </c>
      <c r="V89" s="7" t="str">
        <f t="shared" si="4"/>
        <v>Expand</v>
      </c>
      <c r="W89" s="19" t="str">
        <f t="shared" si="5"/>
        <v>Long Shot</v>
      </c>
      <c r="X89" s="7" t="str">
        <f t="shared" si="6"/>
        <v/>
      </c>
      <c r="Y89" s="7"/>
      <c r="Z89" s="7"/>
    </row>
    <row r="90">
      <c r="A90" s="17">
        <v>87.0</v>
      </c>
      <c r="B90" s="19" t="s">
        <v>517</v>
      </c>
      <c r="C90" s="19" t="s">
        <v>517</v>
      </c>
      <c r="D90" s="19" t="s">
        <v>35</v>
      </c>
      <c r="E90" s="19" t="s">
        <v>753</v>
      </c>
      <c r="F90" s="47" t="str">
        <f t="shared" si="7"/>
        <v>Lean</v>
      </c>
      <c r="G90" s="19" t="s">
        <v>32</v>
      </c>
      <c r="H90" s="19" t="s">
        <v>45</v>
      </c>
      <c r="I90" s="19" t="s">
        <v>32</v>
      </c>
      <c r="J90" s="19" t="s">
        <v>45</v>
      </c>
      <c r="K90" s="19" t="s">
        <v>32</v>
      </c>
      <c r="L90" s="7"/>
      <c r="M90" s="19" t="s">
        <v>51</v>
      </c>
      <c r="N90" s="17">
        <v>13.01</v>
      </c>
      <c r="O90" s="17">
        <f t="array" ref="O90">_xlfn.XLOOKUP(B90, 'Assembly Competitiveness'!$B$4:$B$120,'Assembly Competitiveness'!$O$4:$O$120, "-")</f>
        <v>27.9395</v>
      </c>
      <c r="P90" s="17">
        <f t="array" ref="P90">_xlfn.XLOOKUP(B90,'Assembly Volatality'!$B$4:$B$120,'Assembly Volatality'!$L$4:$L$120, "-")</f>
        <v>39.09</v>
      </c>
      <c r="Q90" s="17">
        <f t="shared" si="9"/>
        <v>43.2</v>
      </c>
      <c r="R90" s="19" t="s">
        <v>51</v>
      </c>
      <c r="S90" s="7"/>
      <c r="T90" s="7" t="str">
        <f t="shared" si="8"/>
        <v>Defend</v>
      </c>
      <c r="U90" s="7" t="str">
        <f t="shared" si="3"/>
        <v>Long Shot</v>
      </c>
      <c r="V90" s="7" t="str">
        <f t="shared" si="4"/>
        <v>Expand</v>
      </c>
      <c r="W90" s="19" t="str">
        <f t="shared" si="5"/>
        <v>Long Shot</v>
      </c>
      <c r="X90" s="7" t="str">
        <f t="shared" si="6"/>
        <v/>
      </c>
      <c r="Y90" s="7"/>
      <c r="Z90" s="7"/>
    </row>
    <row r="91">
      <c r="A91" s="17">
        <v>88.0</v>
      </c>
      <c r="B91" s="19" t="s">
        <v>518</v>
      </c>
      <c r="C91" s="19" t="s">
        <v>517</v>
      </c>
      <c r="D91" s="19" t="s">
        <v>35</v>
      </c>
      <c r="E91" s="19" t="s">
        <v>756</v>
      </c>
      <c r="F91" s="34" t="str">
        <f t="shared" si="7"/>
        <v>Stronghold</v>
      </c>
      <c r="G91" s="19" t="s">
        <v>32</v>
      </c>
      <c r="H91" s="19" t="s">
        <v>32</v>
      </c>
      <c r="I91" s="19" t="s">
        <v>32</v>
      </c>
      <c r="J91" s="19" t="s">
        <v>45</v>
      </c>
      <c r="K91" s="19" t="s">
        <v>32</v>
      </c>
      <c r="L91" s="7"/>
      <c r="M91" s="19" t="s">
        <v>45</v>
      </c>
      <c r="N91" s="17">
        <v>17.27</v>
      </c>
      <c r="O91" s="17">
        <f t="array" ref="O91">_xlfn.XLOOKUP(B91, 'Assembly Competitiveness'!$B$4:$B$120,'Assembly Competitiveness'!$O$4:$O$120, "-")</f>
        <v>21.4585</v>
      </c>
      <c r="P91" s="17">
        <f t="array" ref="P91">_xlfn.XLOOKUP(B91,'Assembly Volatality'!$B$4:$B$120,'Assembly Volatality'!$L$4:$L$120, "-")</f>
        <v>12.1</v>
      </c>
      <c r="Q91" s="17">
        <f t="shared" si="9"/>
        <v>14.5</v>
      </c>
      <c r="R91" s="19" t="s">
        <v>45</v>
      </c>
      <c r="S91" s="7"/>
      <c r="T91" s="7" t="str">
        <f t="shared" si="8"/>
        <v>Defend</v>
      </c>
      <c r="U91" s="7" t="str">
        <f t="shared" si="3"/>
        <v>Expand</v>
      </c>
      <c r="V91" s="7" t="str">
        <f t="shared" si="4"/>
        <v>Long Shot</v>
      </c>
      <c r="W91" s="19" t="str">
        <f t="shared" si="5"/>
        <v>Long Shot</v>
      </c>
      <c r="X91" s="7" t="str">
        <f t="shared" si="6"/>
        <v/>
      </c>
      <c r="Y91" s="7"/>
      <c r="Z91" s="7"/>
    </row>
    <row r="92">
      <c r="A92" s="17">
        <v>89.0</v>
      </c>
      <c r="B92" s="19" t="s">
        <v>520</v>
      </c>
      <c r="C92" s="19" t="s">
        <v>517</v>
      </c>
      <c r="D92" s="19" t="s">
        <v>35</v>
      </c>
      <c r="E92" s="19" t="s">
        <v>758</v>
      </c>
      <c r="F92" s="29" t="str">
        <f t="shared" si="7"/>
        <v>Highly Volatile</v>
      </c>
      <c r="G92" s="19" t="s">
        <v>32</v>
      </c>
      <c r="H92" s="19" t="s">
        <v>32</v>
      </c>
      <c r="I92" s="19" t="s">
        <v>32</v>
      </c>
      <c r="J92" s="19" t="s">
        <v>45</v>
      </c>
      <c r="K92" s="19" t="s">
        <v>287</v>
      </c>
      <c r="L92" s="7"/>
      <c r="M92" s="19" t="s">
        <v>51</v>
      </c>
      <c r="N92" s="17">
        <v>28.41</v>
      </c>
      <c r="O92" s="17">
        <f t="array" ref="O92">_xlfn.XLOOKUP(B92, 'Assembly Competitiveness'!$B$4:$B$120,'Assembly Competitiveness'!$O$4:$O$120, "-")</f>
        <v>29.618</v>
      </c>
      <c r="P92" s="17">
        <f t="array" ref="P92">_xlfn.XLOOKUP(B92,'Assembly Volatality'!$B$4:$B$120,'Assembly Volatality'!$L$4:$L$120, "-")</f>
        <v>36.55</v>
      </c>
      <c r="Q92" s="17">
        <f t="shared" si="9"/>
        <v>42.9</v>
      </c>
      <c r="R92" s="19" t="s">
        <v>51</v>
      </c>
      <c r="S92" s="19" t="s">
        <v>149</v>
      </c>
      <c r="T92" s="7" t="str">
        <f t="shared" si="8"/>
        <v>Battleground</v>
      </c>
      <c r="U92" s="7" t="str">
        <f t="shared" si="3"/>
        <v>Long Shot</v>
      </c>
      <c r="V92" s="7" t="str">
        <f t="shared" si="4"/>
        <v>Battleground</v>
      </c>
      <c r="W92" s="19" t="str">
        <f t="shared" si="5"/>
        <v>Long Shot</v>
      </c>
      <c r="X92" s="7" t="str">
        <f t="shared" si="6"/>
        <v>YES</v>
      </c>
      <c r="Y92" s="7"/>
      <c r="Z92" s="7"/>
    </row>
    <row r="93">
      <c r="A93" s="17">
        <v>90.0</v>
      </c>
      <c r="B93" s="19" t="s">
        <v>522</v>
      </c>
      <c r="C93" s="19" t="s">
        <v>573</v>
      </c>
      <c r="D93" s="19" t="s">
        <v>35</v>
      </c>
      <c r="E93" s="19" t="s">
        <v>759</v>
      </c>
      <c r="F93" s="46" t="str">
        <f t="shared" si="7"/>
        <v>Battleground</v>
      </c>
      <c r="G93" s="19" t="s">
        <v>32</v>
      </c>
      <c r="H93" s="19" t="s">
        <v>45</v>
      </c>
      <c r="I93" s="19" t="s">
        <v>32</v>
      </c>
      <c r="J93" s="19" t="s">
        <v>45</v>
      </c>
      <c r="K93" s="19" t="s">
        <v>287</v>
      </c>
      <c r="L93" s="7"/>
      <c r="M93" s="19" t="s">
        <v>51</v>
      </c>
      <c r="N93" s="17">
        <v>7.69</v>
      </c>
      <c r="O93" s="17">
        <f t="array" ref="O93">_xlfn.XLOOKUP(B93, 'Assembly Competitiveness'!$B$4:$B$120,'Assembly Competitiveness'!$O$4:$O$120, "-")</f>
        <v>50.0915</v>
      </c>
      <c r="P93" s="17">
        <f t="array" ref="P93">_xlfn.XLOOKUP(B93,'Assembly Volatality'!$B$4:$B$120,'Assembly Volatality'!$L$4:$L$120, "-")</f>
        <v>46.23</v>
      </c>
      <c r="Q93" s="17">
        <f t="shared" si="9"/>
        <v>56</v>
      </c>
      <c r="R93" s="19" t="s">
        <v>51</v>
      </c>
      <c r="S93" s="19" t="s">
        <v>149</v>
      </c>
      <c r="T93" s="7" t="str">
        <f t="shared" si="8"/>
        <v>Battleground</v>
      </c>
      <c r="U93" s="7" t="str">
        <f t="shared" si="3"/>
        <v>Long Shot</v>
      </c>
      <c r="V93" s="7" t="str">
        <f t="shared" si="4"/>
        <v>Battleground</v>
      </c>
      <c r="W93" s="19" t="str">
        <f t="shared" si="5"/>
        <v>Long Shot</v>
      </c>
      <c r="X93" s="7" t="str">
        <f t="shared" si="6"/>
        <v>YES</v>
      </c>
      <c r="Y93" s="7"/>
      <c r="Z93" s="7"/>
    </row>
    <row r="94">
      <c r="A94" s="17">
        <v>91.0</v>
      </c>
      <c r="B94" s="19" t="s">
        <v>523</v>
      </c>
      <c r="C94" s="19" t="s">
        <v>573</v>
      </c>
      <c r="D94" s="19" t="s">
        <v>35</v>
      </c>
      <c r="E94" s="19" t="s">
        <v>760</v>
      </c>
      <c r="F94" s="29" t="str">
        <f t="shared" si="7"/>
        <v>Highly Volatile</v>
      </c>
      <c r="G94" s="19" t="s">
        <v>32</v>
      </c>
      <c r="H94" s="19" t="s">
        <v>45</v>
      </c>
      <c r="I94" s="19" t="s">
        <v>32</v>
      </c>
      <c r="J94" s="19" t="s">
        <v>51</v>
      </c>
      <c r="K94" s="19" t="s">
        <v>51</v>
      </c>
      <c r="L94" s="7"/>
      <c r="M94" s="19" t="s">
        <v>51</v>
      </c>
      <c r="N94" s="17">
        <v>33.89</v>
      </c>
      <c r="O94" s="17">
        <f t="array" ref="O94">_xlfn.XLOOKUP(B94, 'Assembly Competitiveness'!$B$4:$B$120,'Assembly Competitiveness'!$O$4:$O$120, "-")</f>
        <v>39.57</v>
      </c>
      <c r="P94" s="17">
        <f t="array" ref="P94">_xlfn.XLOOKUP(B94,'Assembly Volatality'!$B$4:$B$120,'Assembly Volatality'!$L$4:$L$120, "-")</f>
        <v>68.28</v>
      </c>
      <c r="Q94" s="17">
        <f t="shared" si="9"/>
        <v>60.1</v>
      </c>
      <c r="R94" s="19" t="s">
        <v>51</v>
      </c>
      <c r="S94" s="19" t="s">
        <v>149</v>
      </c>
      <c r="T94" s="7" t="str">
        <f t="shared" si="8"/>
        <v>Battleground</v>
      </c>
      <c r="U94" s="7" t="str">
        <f t="shared" si="3"/>
        <v>Long Shot</v>
      </c>
      <c r="V94" s="7" t="str">
        <f t="shared" si="4"/>
        <v>Battleground</v>
      </c>
      <c r="W94" s="19" t="str">
        <f t="shared" si="5"/>
        <v>Long Shot</v>
      </c>
      <c r="X94" s="7" t="str">
        <f t="shared" si="6"/>
        <v/>
      </c>
      <c r="Y94" s="7"/>
      <c r="Z94" s="7"/>
    </row>
    <row r="95">
      <c r="A95" s="17">
        <v>92.0</v>
      </c>
      <c r="B95" s="19" t="s">
        <v>524</v>
      </c>
      <c r="C95" s="19" t="s">
        <v>573</v>
      </c>
      <c r="D95" s="19" t="s">
        <v>35</v>
      </c>
      <c r="E95" s="19" t="s">
        <v>795</v>
      </c>
      <c r="F95" s="29" t="str">
        <f t="shared" si="7"/>
        <v>Highly Volatile</v>
      </c>
      <c r="G95" s="19" t="s">
        <v>32</v>
      </c>
      <c r="H95" s="19" t="s">
        <v>45</v>
      </c>
      <c r="I95" s="19" t="s">
        <v>32</v>
      </c>
      <c r="J95" s="19" t="s">
        <v>51</v>
      </c>
      <c r="K95" s="19" t="s">
        <v>53</v>
      </c>
      <c r="L95" s="7"/>
      <c r="M95" s="19" t="s">
        <v>45</v>
      </c>
      <c r="N95" s="17">
        <v>39.37</v>
      </c>
      <c r="O95" s="17">
        <f t="array" ref="O95">_xlfn.XLOOKUP(B95, 'Assembly Competitiveness'!$B$4:$B$120,'Assembly Competitiveness'!$O$4:$O$120, "-")</f>
        <v>27.7</v>
      </c>
      <c r="P95" s="17">
        <f t="array" ref="P95">_xlfn.XLOOKUP(B95,'Assembly Volatality'!$B$4:$B$120,'Assembly Volatality'!$L$4:$L$120, "-")</f>
        <v>67.27</v>
      </c>
      <c r="Q95" s="17">
        <f t="shared" si="9"/>
        <v>54.4</v>
      </c>
      <c r="R95" s="19" t="s">
        <v>45</v>
      </c>
      <c r="S95" s="19" t="s">
        <v>149</v>
      </c>
      <c r="T95" s="7" t="str">
        <f t="shared" si="8"/>
        <v>Battleground</v>
      </c>
      <c r="U95" s="7" t="str">
        <f t="shared" si="3"/>
        <v>Battleground</v>
      </c>
      <c r="V95" s="7" t="str">
        <f t="shared" si="4"/>
        <v>Long Shot</v>
      </c>
      <c r="W95" s="19" t="str">
        <f t="shared" si="5"/>
        <v>Expand</v>
      </c>
      <c r="X95" s="7" t="str">
        <f t="shared" si="6"/>
        <v>YES</v>
      </c>
      <c r="Y95" s="7"/>
      <c r="Z95" s="7"/>
    </row>
    <row r="96">
      <c r="A96" s="17">
        <v>93.0</v>
      </c>
      <c r="B96" s="19" t="s">
        <v>526</v>
      </c>
      <c r="C96" s="19" t="s">
        <v>573</v>
      </c>
      <c r="D96" s="19" t="s">
        <v>35</v>
      </c>
      <c r="E96" s="19" t="s">
        <v>845</v>
      </c>
      <c r="F96" s="29" t="str">
        <f t="shared" si="7"/>
        <v>Highly Volatile</v>
      </c>
      <c r="G96" s="19" t="s">
        <v>32</v>
      </c>
      <c r="H96" s="19" t="s">
        <v>32</v>
      </c>
      <c r="I96" s="19" t="s">
        <v>32</v>
      </c>
      <c r="J96" s="19" t="s">
        <v>51</v>
      </c>
      <c r="K96" s="19" t="s">
        <v>51</v>
      </c>
      <c r="L96" s="7"/>
      <c r="M96" s="19" t="s">
        <v>51</v>
      </c>
      <c r="N96" s="17">
        <v>28.81</v>
      </c>
      <c r="O96" s="17">
        <f t="array" ref="O96">_xlfn.XLOOKUP(B96, 'Assembly Competitiveness'!$B$4:$B$120,'Assembly Competitiveness'!$O$4:$O$120, "-")</f>
        <v>29.54</v>
      </c>
      <c r="P96" s="17">
        <f t="array" ref="P96">_xlfn.XLOOKUP(B96,'Assembly Volatality'!$B$4:$B$120,'Assembly Volatality'!$L$4:$L$120, "-")</f>
        <v>33.08</v>
      </c>
      <c r="Q96" s="17">
        <f t="shared" si="9"/>
        <v>41.5</v>
      </c>
      <c r="R96" s="19" t="s">
        <v>51</v>
      </c>
      <c r="S96" s="19" t="s">
        <v>149</v>
      </c>
      <c r="T96" s="7" t="str">
        <f t="shared" si="8"/>
        <v>Battleground</v>
      </c>
      <c r="U96" s="7" t="str">
        <f t="shared" si="3"/>
        <v>Long Shot</v>
      </c>
      <c r="V96" s="7" t="str">
        <f t="shared" si="4"/>
        <v>Battleground</v>
      </c>
      <c r="W96" s="19" t="str">
        <f t="shared" si="5"/>
        <v>Long Shot</v>
      </c>
      <c r="X96" s="7" t="str">
        <f t="shared" si="6"/>
        <v/>
      </c>
      <c r="Y96" s="7"/>
      <c r="Z96" s="7"/>
    </row>
    <row r="97">
      <c r="A97" s="17">
        <v>94.0</v>
      </c>
      <c r="B97" s="19" t="s">
        <v>527</v>
      </c>
      <c r="C97" s="19" t="s">
        <v>573</v>
      </c>
      <c r="D97" s="19" t="s">
        <v>35</v>
      </c>
      <c r="E97" s="19" t="s">
        <v>924</v>
      </c>
      <c r="F97" s="29" t="str">
        <f t="shared" si="7"/>
        <v>Highly Volatile</v>
      </c>
      <c r="G97" s="19" t="s">
        <v>32</v>
      </c>
      <c r="H97" s="19" t="s">
        <v>32</v>
      </c>
      <c r="I97" s="19" t="s">
        <v>32</v>
      </c>
      <c r="J97" s="19" t="s">
        <v>45</v>
      </c>
      <c r="K97" s="19" t="s">
        <v>51</v>
      </c>
      <c r="L97" s="7"/>
      <c r="M97" s="19" t="s">
        <v>51</v>
      </c>
      <c r="N97" s="17">
        <v>11.68</v>
      </c>
      <c r="O97" s="17">
        <f t="array" ref="O97">_xlfn.XLOOKUP(B97, 'Assembly Competitiveness'!$B$4:$B$120,'Assembly Competitiveness'!$O$4:$O$120, "-")</f>
        <v>34.994</v>
      </c>
      <c r="P97" s="17">
        <f t="array" ref="P97">_xlfn.XLOOKUP(B97,'Assembly Volatality'!$B$4:$B$120,'Assembly Volatality'!$L$4:$L$120, "-")</f>
        <v>15.28</v>
      </c>
      <c r="Q97" s="17">
        <f t="shared" si="9"/>
        <v>36.9</v>
      </c>
      <c r="R97" s="19" t="s">
        <v>51</v>
      </c>
      <c r="S97" s="19" t="s">
        <v>149</v>
      </c>
      <c r="T97" s="7" t="str">
        <f t="shared" si="8"/>
        <v>Battleground</v>
      </c>
      <c r="U97" s="7" t="str">
        <f t="shared" si="3"/>
        <v>Long Shot</v>
      </c>
      <c r="V97" s="7" t="str">
        <f t="shared" si="4"/>
        <v>Battleground</v>
      </c>
      <c r="W97" s="19" t="str">
        <f t="shared" si="5"/>
        <v>Long Shot</v>
      </c>
      <c r="X97" s="7" t="str">
        <f t="shared" si="6"/>
        <v/>
      </c>
      <c r="Y97" s="7"/>
      <c r="Z97" s="7"/>
    </row>
    <row r="98">
      <c r="A98" s="17">
        <v>95.0</v>
      </c>
      <c r="B98" s="19" t="s">
        <v>528</v>
      </c>
      <c r="C98" s="19" t="s">
        <v>573</v>
      </c>
      <c r="D98" s="19" t="s">
        <v>35</v>
      </c>
      <c r="E98" s="19" t="s">
        <v>998</v>
      </c>
      <c r="F98" s="34" t="str">
        <f t="shared" si="7"/>
        <v>Stronghold</v>
      </c>
      <c r="G98" s="19" t="s">
        <v>32</v>
      </c>
      <c r="H98" s="19" t="s">
        <v>32</v>
      </c>
      <c r="I98" s="19" t="s">
        <v>32</v>
      </c>
      <c r="J98" s="19" t="s">
        <v>45</v>
      </c>
      <c r="K98" s="19" t="s">
        <v>32</v>
      </c>
      <c r="L98" s="7"/>
      <c r="M98" s="19" t="s">
        <v>287</v>
      </c>
      <c r="N98" s="17">
        <v>25.98</v>
      </c>
      <c r="O98" s="17">
        <f t="array" ref="O98">_xlfn.XLOOKUP(B98, 'Assembly Competitiveness'!$B$4:$B$120,'Assembly Competitiveness'!$O$4:$O$120, "-")</f>
        <v>15.37</v>
      </c>
      <c r="P98" s="17">
        <f t="array" ref="P98">_xlfn.XLOOKUP(B98,'Assembly Volatality'!$B$4:$B$120,'Assembly Volatality'!$L$4:$L$120, "-")</f>
        <v>18.67</v>
      </c>
      <c r="Q98" s="17">
        <f t="shared" si="9"/>
        <v>14.4</v>
      </c>
      <c r="R98" s="19" t="s">
        <v>287</v>
      </c>
      <c r="S98" s="7"/>
      <c r="T98" s="7" t="str">
        <f t="shared" si="8"/>
        <v>Defend</v>
      </c>
      <c r="U98" s="7" t="str">
        <f t="shared" si="3"/>
        <v>Long Shot</v>
      </c>
      <c r="V98" s="7" t="str">
        <f t="shared" si="4"/>
        <v>Long Shot</v>
      </c>
      <c r="W98" s="19" t="str">
        <f t="shared" si="5"/>
        <v>Long Shot</v>
      </c>
      <c r="X98" s="7" t="str">
        <f t="shared" si="6"/>
        <v/>
      </c>
      <c r="Y98" s="7"/>
      <c r="Z98" s="7"/>
    </row>
    <row r="99">
      <c r="A99" s="17">
        <v>96.0</v>
      </c>
      <c r="B99" s="19" t="s">
        <v>529</v>
      </c>
      <c r="C99" s="19" t="s">
        <v>529</v>
      </c>
      <c r="D99" s="19" t="s">
        <v>35</v>
      </c>
      <c r="E99" s="19" t="s">
        <v>1076</v>
      </c>
      <c r="F99" s="34" t="str">
        <f t="shared" si="7"/>
        <v>Stronghold</v>
      </c>
      <c r="G99" s="19" t="s">
        <v>32</v>
      </c>
      <c r="H99" s="19" t="s">
        <v>32</v>
      </c>
      <c r="I99" s="19" t="s">
        <v>32</v>
      </c>
      <c r="J99" s="19" t="s">
        <v>45</v>
      </c>
      <c r="K99" s="19" t="s">
        <v>32</v>
      </c>
      <c r="L99" s="7"/>
      <c r="M99" s="19" t="s">
        <v>45</v>
      </c>
      <c r="N99" s="17">
        <v>36.68</v>
      </c>
      <c r="O99" s="17">
        <f t="array" ref="O99">_xlfn.XLOOKUP(B99, 'Assembly Competitiveness'!$B$4:$B$120,'Assembly Competitiveness'!$O$4:$O$120, "-")</f>
        <v>18.11</v>
      </c>
      <c r="P99" s="17">
        <f t="array" ref="P99">_xlfn.XLOOKUP(B99,'Assembly Volatality'!$B$4:$B$120,'Assembly Volatality'!$L$4:$L$120, "-")</f>
        <v>29.29</v>
      </c>
      <c r="Q99" s="17">
        <f t="shared" si="9"/>
        <v>19.9</v>
      </c>
      <c r="R99" s="19" t="s">
        <v>45</v>
      </c>
      <c r="S99" s="7"/>
      <c r="T99" s="7" t="str">
        <f t="shared" si="8"/>
        <v>Defend</v>
      </c>
      <c r="U99" s="7" t="str">
        <f t="shared" si="3"/>
        <v>Expand</v>
      </c>
      <c r="V99" s="7" t="str">
        <f t="shared" si="4"/>
        <v>Long Shot</v>
      </c>
      <c r="W99" s="19" t="str">
        <f t="shared" si="5"/>
        <v>Long Shot</v>
      </c>
      <c r="X99" s="7" t="str">
        <f t="shared" si="6"/>
        <v/>
      </c>
      <c r="Y99" s="7"/>
      <c r="Z99" s="7"/>
    </row>
    <row r="100">
      <c r="A100" s="17">
        <v>97.0</v>
      </c>
      <c r="B100" s="19" t="s">
        <v>531</v>
      </c>
      <c r="C100" s="19" t="s">
        <v>529</v>
      </c>
      <c r="D100" s="19" t="s">
        <v>35</v>
      </c>
      <c r="E100" s="19" t="s">
        <v>1115</v>
      </c>
      <c r="F100" s="47" t="str">
        <f t="shared" si="7"/>
        <v>Lean</v>
      </c>
      <c r="G100" s="19" t="s">
        <v>32</v>
      </c>
      <c r="H100" s="19" t="s">
        <v>51</v>
      </c>
      <c r="I100" s="19" t="s">
        <v>32</v>
      </c>
      <c r="J100" s="19" t="s">
        <v>45</v>
      </c>
      <c r="K100" s="19" t="s">
        <v>32</v>
      </c>
      <c r="L100" s="7"/>
      <c r="M100" s="19" t="s">
        <v>45</v>
      </c>
      <c r="N100" s="17">
        <v>27.19</v>
      </c>
      <c r="O100" s="17">
        <f t="array" ref="O100">_xlfn.XLOOKUP(B100, 'Assembly Competitiveness'!$B$4:$B$120,'Assembly Competitiveness'!$O$4:$O$120, "-")</f>
        <v>22.756</v>
      </c>
      <c r="P100" s="17">
        <f t="array" ref="P100">_xlfn.XLOOKUP(B100,'Assembly Volatality'!$B$4:$B$120,'Assembly Volatality'!$L$4:$L$120, "-")</f>
        <v>55.96</v>
      </c>
      <c r="Q100" s="17">
        <f t="shared" si="9"/>
        <v>47.6</v>
      </c>
      <c r="R100" s="19" t="s">
        <v>45</v>
      </c>
      <c r="S100" s="7"/>
      <c r="T100" s="7" t="str">
        <f t="shared" si="8"/>
        <v>Defend</v>
      </c>
      <c r="U100" s="7" t="str">
        <f t="shared" si="3"/>
        <v>Expand</v>
      </c>
      <c r="V100" s="7" t="str">
        <f t="shared" si="4"/>
        <v>Long Shot</v>
      </c>
      <c r="W100" s="19" t="str">
        <f t="shared" si="5"/>
        <v>Long Shot</v>
      </c>
      <c r="X100" s="7" t="str">
        <f t="shared" si="6"/>
        <v/>
      </c>
      <c r="Y100" s="7"/>
      <c r="Z100" s="7"/>
    </row>
    <row r="101">
      <c r="A101" s="17">
        <v>98.0</v>
      </c>
      <c r="B101" s="19" t="s">
        <v>532</v>
      </c>
      <c r="C101" s="19" t="s">
        <v>529</v>
      </c>
      <c r="D101" s="19" t="s">
        <v>35</v>
      </c>
      <c r="E101" s="19" t="s">
        <v>1150</v>
      </c>
      <c r="F101" s="29" t="str">
        <f t="shared" si="7"/>
        <v>Highly Volatile</v>
      </c>
      <c r="G101" s="19" t="s">
        <v>32</v>
      </c>
      <c r="H101" s="19" t="s">
        <v>32</v>
      </c>
      <c r="I101" s="19" t="s">
        <v>32</v>
      </c>
      <c r="J101" s="19" t="s">
        <v>51</v>
      </c>
      <c r="K101" s="19" t="s">
        <v>51</v>
      </c>
      <c r="L101" s="7"/>
      <c r="M101" s="19" t="s">
        <v>51</v>
      </c>
      <c r="N101" s="17">
        <v>32.41</v>
      </c>
      <c r="O101" s="17">
        <f t="array" ref="O101">_xlfn.XLOOKUP(B101, 'Assembly Competitiveness'!$B$4:$B$120,'Assembly Competitiveness'!$O$4:$O$120, "-")</f>
        <v>39.21</v>
      </c>
      <c r="P101" s="17">
        <f t="array" ref="P101">_xlfn.XLOOKUP(B101,'Assembly Volatality'!$B$4:$B$120,'Assembly Volatality'!$L$4:$L$120, "-")</f>
        <v>40.53</v>
      </c>
      <c r="Q101" s="17">
        <f t="shared" si="9"/>
        <v>48.9</v>
      </c>
      <c r="R101" s="19" t="s">
        <v>51</v>
      </c>
      <c r="S101" s="19" t="s">
        <v>149</v>
      </c>
      <c r="T101" s="7" t="str">
        <f t="shared" si="8"/>
        <v>Battleground</v>
      </c>
      <c r="U101" s="7" t="str">
        <f t="shared" si="3"/>
        <v>Long Shot</v>
      </c>
      <c r="V101" s="7" t="str">
        <f t="shared" si="4"/>
        <v>Battleground</v>
      </c>
      <c r="W101" s="19" t="str">
        <f t="shared" si="5"/>
        <v>Long Shot</v>
      </c>
      <c r="X101" s="7" t="str">
        <f t="shared" si="6"/>
        <v/>
      </c>
      <c r="Y101" s="7"/>
      <c r="Z101" s="7"/>
    </row>
    <row r="102">
      <c r="A102" s="17">
        <v>99.0</v>
      </c>
      <c r="B102" s="19" t="s">
        <v>533</v>
      </c>
      <c r="C102" s="19" t="s">
        <v>545</v>
      </c>
      <c r="D102" s="19" t="s">
        <v>35</v>
      </c>
      <c r="E102" s="19" t="s">
        <v>1164</v>
      </c>
      <c r="F102" s="47" t="str">
        <f t="shared" si="7"/>
        <v>Lean</v>
      </c>
      <c r="G102" s="19" t="s">
        <v>32</v>
      </c>
      <c r="H102" s="19" t="s">
        <v>51</v>
      </c>
      <c r="I102" s="19" t="s">
        <v>32</v>
      </c>
      <c r="J102" s="19" t="s">
        <v>51</v>
      </c>
      <c r="K102" s="19" t="s">
        <v>32</v>
      </c>
      <c r="L102" s="7"/>
      <c r="M102" s="19" t="s">
        <v>287</v>
      </c>
      <c r="N102" s="17">
        <v>19.4</v>
      </c>
      <c r="O102" s="17">
        <f t="array" ref="O102">_xlfn.XLOOKUP(B102, 'Assembly Competitiveness'!$B$4:$B$120,'Assembly Competitiveness'!$O$4:$O$120, "-")</f>
        <v>1.866</v>
      </c>
      <c r="P102" s="17">
        <f t="array" ref="P102">_xlfn.XLOOKUP(B102,'Assembly Volatality'!$B$4:$B$120,'Assembly Volatality'!$L$4:$L$120, "-")</f>
        <v>35.17</v>
      </c>
      <c r="Q102" s="17">
        <f t="shared" si="9"/>
        <v>29.9</v>
      </c>
      <c r="R102" s="19" t="s">
        <v>287</v>
      </c>
      <c r="S102" s="7"/>
      <c r="T102" s="7" t="str">
        <f t="shared" si="8"/>
        <v>Defend</v>
      </c>
      <c r="U102" s="7" t="str">
        <f t="shared" si="3"/>
        <v>Long Shot</v>
      </c>
      <c r="V102" s="7" t="str">
        <f t="shared" si="4"/>
        <v>Long Shot</v>
      </c>
      <c r="W102" s="19" t="str">
        <f t="shared" si="5"/>
        <v>Long Shot</v>
      </c>
      <c r="X102" s="7" t="str">
        <f t="shared" si="6"/>
        <v/>
      </c>
      <c r="Y102" s="7"/>
      <c r="Z102" s="7"/>
    </row>
    <row r="103">
      <c r="A103" s="17">
        <v>100.0</v>
      </c>
      <c r="B103" s="19" t="s">
        <v>534</v>
      </c>
      <c r="C103" s="19" t="s">
        <v>545</v>
      </c>
      <c r="D103" s="19" t="s">
        <v>35</v>
      </c>
      <c r="E103" s="19" t="s">
        <v>1165</v>
      </c>
      <c r="F103" s="34" t="str">
        <f t="shared" si="7"/>
        <v>Stronghold</v>
      </c>
      <c r="G103" s="19" t="s">
        <v>32</v>
      </c>
      <c r="H103" s="19" t="s">
        <v>32</v>
      </c>
      <c r="I103" s="19" t="s">
        <v>32</v>
      </c>
      <c r="J103" s="19" t="s">
        <v>32</v>
      </c>
      <c r="K103" s="19" t="s">
        <v>32</v>
      </c>
      <c r="L103" s="7"/>
      <c r="M103" s="19" t="s">
        <v>51</v>
      </c>
      <c r="N103" s="17">
        <v>35.11</v>
      </c>
      <c r="O103" s="17">
        <f t="array" ref="O103">_xlfn.XLOOKUP(B103, 'Assembly Competitiveness'!$B$4:$B$120,'Assembly Competitiveness'!$O$4:$O$120, "-")</f>
        <v>28.86</v>
      </c>
      <c r="P103" s="17">
        <f t="array" ref="P103">_xlfn.XLOOKUP(B103,'Assembly Volatality'!$B$4:$B$120,'Assembly Volatality'!$L$4:$L$120, "-")</f>
        <v>28.92</v>
      </c>
      <c r="Q103" s="17">
        <f t="shared" si="9"/>
        <v>24.6</v>
      </c>
      <c r="R103" s="19" t="s">
        <v>51</v>
      </c>
      <c r="S103" s="7"/>
      <c r="T103" s="7" t="str">
        <f t="shared" si="8"/>
        <v>Defend</v>
      </c>
      <c r="U103" s="7" t="str">
        <f t="shared" si="3"/>
        <v>Long Shot</v>
      </c>
      <c r="V103" s="7" t="str">
        <f t="shared" si="4"/>
        <v>Expand</v>
      </c>
      <c r="W103" s="19" t="str">
        <f t="shared" si="5"/>
        <v>Long Shot</v>
      </c>
      <c r="X103" s="7" t="str">
        <f t="shared" si="6"/>
        <v/>
      </c>
      <c r="Y103" s="7"/>
      <c r="Z103" s="7"/>
    </row>
    <row r="104">
      <c r="A104" s="17">
        <v>101.0</v>
      </c>
      <c r="B104" s="19" t="s">
        <v>536</v>
      </c>
      <c r="C104" s="19" t="s">
        <v>545</v>
      </c>
      <c r="D104" s="19" t="s">
        <v>35</v>
      </c>
      <c r="E104" s="19" t="s">
        <v>1166</v>
      </c>
      <c r="F104" s="34" t="str">
        <f t="shared" si="7"/>
        <v>Stronghold</v>
      </c>
      <c r="G104" s="19" t="s">
        <v>32</v>
      </c>
      <c r="H104" s="19" t="s">
        <v>32</v>
      </c>
      <c r="I104" s="19" t="s">
        <v>32</v>
      </c>
      <c r="J104" s="19" t="s">
        <v>32</v>
      </c>
      <c r="K104" s="19" t="s">
        <v>32</v>
      </c>
      <c r="L104" s="7"/>
      <c r="M104" s="19" t="s">
        <v>45</v>
      </c>
      <c r="N104" s="17">
        <v>49.14</v>
      </c>
      <c r="O104" s="17">
        <f t="array" ref="O104">_xlfn.XLOOKUP(B104, 'Assembly Competitiveness'!$B$4:$B$120,'Assembly Competitiveness'!$O$4:$O$120, "-")</f>
        <v>10.28</v>
      </c>
      <c r="P104" s="17">
        <f t="array" ref="P104">_xlfn.XLOOKUP(B104,'Assembly Volatality'!$B$4:$B$120,'Assembly Volatality'!$L$4:$L$120, "-")</f>
        <v>29.4</v>
      </c>
      <c r="Q104" s="17">
        <f t="shared" si="9"/>
        <v>16.4</v>
      </c>
      <c r="R104" s="19" t="s">
        <v>45</v>
      </c>
      <c r="S104" s="7"/>
      <c r="T104" s="7" t="str">
        <f t="shared" si="8"/>
        <v>Defend</v>
      </c>
      <c r="U104" s="7" t="str">
        <f t="shared" si="3"/>
        <v>Expand</v>
      </c>
      <c r="V104" s="7" t="str">
        <f t="shared" si="4"/>
        <v>Long Shot</v>
      </c>
      <c r="W104" s="19" t="str">
        <f t="shared" si="5"/>
        <v>Long Shot</v>
      </c>
      <c r="X104" s="7" t="str">
        <f t="shared" si="6"/>
        <v/>
      </c>
      <c r="Y104" s="7"/>
      <c r="Z104" s="7"/>
    </row>
    <row r="105">
      <c r="A105" s="17">
        <v>102.0</v>
      </c>
      <c r="B105" s="19" t="s">
        <v>537</v>
      </c>
      <c r="C105" s="19" t="s">
        <v>538</v>
      </c>
      <c r="D105" s="19" t="s">
        <v>35</v>
      </c>
      <c r="E105" s="19" t="s">
        <v>1181</v>
      </c>
      <c r="F105" s="34" t="str">
        <f t="shared" si="7"/>
        <v>Stronghold</v>
      </c>
      <c r="G105" s="19" t="s">
        <v>32</v>
      </c>
      <c r="H105" s="19" t="s">
        <v>32</v>
      </c>
      <c r="I105" s="19" t="s">
        <v>32</v>
      </c>
      <c r="J105" s="19" t="s">
        <v>32</v>
      </c>
      <c r="K105" s="19" t="s">
        <v>32</v>
      </c>
      <c r="L105" s="7"/>
      <c r="M105" s="19" t="s">
        <v>45</v>
      </c>
      <c r="N105" s="17">
        <v>30.19</v>
      </c>
      <c r="O105" s="17">
        <f t="array" ref="O105">_xlfn.XLOOKUP(B105, 'Assembly Competitiveness'!$B$4:$B$120,'Assembly Competitiveness'!$O$4:$O$120, "-")</f>
        <v>9.074</v>
      </c>
      <c r="P105" s="17">
        <f t="array" ref="P105">_xlfn.XLOOKUP(B105,'Assembly Volatality'!$B$4:$B$120,'Assembly Volatality'!$L$4:$L$120, "-")</f>
        <v>17.32</v>
      </c>
      <c r="Q105" s="17">
        <f t="shared" si="9"/>
        <v>11</v>
      </c>
      <c r="R105" s="19" t="s">
        <v>45</v>
      </c>
      <c r="S105" s="7"/>
      <c r="T105" s="7" t="str">
        <f t="shared" si="8"/>
        <v>Defend</v>
      </c>
      <c r="U105" s="7" t="str">
        <f t="shared" si="3"/>
        <v>Expand</v>
      </c>
      <c r="V105" s="7" t="str">
        <f t="shared" si="4"/>
        <v>Long Shot</v>
      </c>
      <c r="W105" s="19" t="str">
        <f t="shared" si="5"/>
        <v>Long Shot</v>
      </c>
      <c r="X105" s="7" t="str">
        <f t="shared" si="6"/>
        <v/>
      </c>
      <c r="Y105" s="7"/>
      <c r="Z105" s="7"/>
    </row>
    <row r="106">
      <c r="A106" s="17">
        <v>103.0</v>
      </c>
      <c r="B106" s="19" t="s">
        <v>538</v>
      </c>
      <c r="C106" s="19" t="s">
        <v>538</v>
      </c>
      <c r="D106" s="19" t="s">
        <v>35</v>
      </c>
      <c r="E106" s="19" t="s">
        <v>1210</v>
      </c>
      <c r="F106" s="25" t="str">
        <f t="shared" si="7"/>
        <v>Opposition Lean</v>
      </c>
      <c r="G106" s="19" t="s">
        <v>45</v>
      </c>
      <c r="H106" s="19" t="s">
        <v>32</v>
      </c>
      <c r="I106" s="19" t="s">
        <v>32</v>
      </c>
      <c r="J106" s="19" t="s">
        <v>32</v>
      </c>
      <c r="K106" s="19" t="s">
        <v>32</v>
      </c>
      <c r="L106" s="22" t="s">
        <v>581</v>
      </c>
      <c r="M106" s="19" t="s">
        <v>51</v>
      </c>
      <c r="N106" s="17">
        <v>28.79</v>
      </c>
      <c r="O106" s="17">
        <f t="array" ref="O106">_xlfn.XLOOKUP(B106, 'Assembly Competitiveness'!$B$4:$B$120,'Assembly Competitiveness'!$O$4:$O$120, "-")</f>
        <v>43.18</v>
      </c>
      <c r="P106" s="17">
        <f t="array" ref="P106">_xlfn.XLOOKUP(B106,'Assembly Volatality'!$B$4:$B$120,'Assembly Volatality'!$L$4:$L$120, "-")</f>
        <v>55.69</v>
      </c>
      <c r="Q106" s="17">
        <f t="shared" si="9"/>
        <v>41.7</v>
      </c>
      <c r="R106" s="19" t="s">
        <v>32</v>
      </c>
      <c r="S106" s="7"/>
      <c r="T106" s="7" t="str">
        <f t="shared" si="8"/>
        <v>Battleground</v>
      </c>
      <c r="U106" s="7" t="str">
        <f t="shared" si="3"/>
        <v>Battleground</v>
      </c>
      <c r="V106" s="7" t="str">
        <f t="shared" si="4"/>
        <v>Expand</v>
      </c>
      <c r="W106" s="19" t="str">
        <f t="shared" si="5"/>
        <v>Long Shot</v>
      </c>
      <c r="X106" s="7" t="str">
        <f t="shared" si="6"/>
        <v>YES</v>
      </c>
      <c r="Y106" s="7"/>
      <c r="Z106" s="7"/>
    </row>
    <row r="107">
      <c r="A107" s="17">
        <v>104.0</v>
      </c>
      <c r="B107" s="19" t="s">
        <v>540</v>
      </c>
      <c r="C107" s="19" t="s">
        <v>538</v>
      </c>
      <c r="D107" s="19" t="s">
        <v>35</v>
      </c>
      <c r="E107" s="19" t="s">
        <v>1224</v>
      </c>
      <c r="F107" s="34" t="str">
        <f t="shared" si="7"/>
        <v>Stronghold</v>
      </c>
      <c r="G107" s="19" t="s">
        <v>32</v>
      </c>
      <c r="H107" s="19" t="s">
        <v>32</v>
      </c>
      <c r="I107" s="19" t="s">
        <v>32</v>
      </c>
      <c r="J107" s="19" t="s">
        <v>32</v>
      </c>
      <c r="K107" s="19" t="s">
        <v>32</v>
      </c>
      <c r="L107" s="7"/>
      <c r="M107" s="19" t="s">
        <v>287</v>
      </c>
      <c r="N107" s="17">
        <v>26.47</v>
      </c>
      <c r="O107" s="17">
        <f t="array" ref="O107">_xlfn.XLOOKUP(B107, 'Assembly Competitiveness'!$B$4:$B$120,'Assembly Competitiveness'!$O$4:$O$120, "-")</f>
        <v>1.912</v>
      </c>
      <c r="P107" s="17">
        <f t="array" ref="P107">_xlfn.XLOOKUP(B107,'Assembly Volatality'!$B$4:$B$120,'Assembly Volatality'!$L$4:$L$120, "-")</f>
        <v>13.49</v>
      </c>
      <c r="Q107" s="17">
        <f t="shared" si="9"/>
        <v>6.3</v>
      </c>
      <c r="R107" s="19" t="s">
        <v>287</v>
      </c>
      <c r="S107" s="7"/>
      <c r="T107" s="7" t="str">
        <f t="shared" si="8"/>
        <v>Defend</v>
      </c>
      <c r="U107" s="7" t="str">
        <f t="shared" si="3"/>
        <v>Long Shot</v>
      </c>
      <c r="V107" s="7" t="str">
        <f t="shared" si="4"/>
        <v>Long Shot</v>
      </c>
      <c r="W107" s="19" t="str">
        <f t="shared" si="5"/>
        <v>Long Shot</v>
      </c>
      <c r="X107" s="7" t="str">
        <f t="shared" si="6"/>
        <v/>
      </c>
      <c r="Y107" s="7"/>
      <c r="Z107" s="7"/>
    </row>
    <row r="108">
      <c r="A108" s="17">
        <v>105.0</v>
      </c>
      <c r="B108" s="19" t="s">
        <v>542</v>
      </c>
      <c r="C108" s="19" t="s">
        <v>542</v>
      </c>
      <c r="D108" s="19" t="s">
        <v>35</v>
      </c>
      <c r="E108" s="19" t="s">
        <v>1239</v>
      </c>
      <c r="F108" s="25" t="str">
        <f t="shared" si="7"/>
        <v>Opposition Lean</v>
      </c>
      <c r="G108" s="19" t="s">
        <v>32</v>
      </c>
      <c r="H108" s="19" t="s">
        <v>45</v>
      </c>
      <c r="I108" s="19" t="s">
        <v>32</v>
      </c>
      <c r="J108" s="19" t="s">
        <v>45</v>
      </c>
      <c r="K108" s="19" t="s">
        <v>45</v>
      </c>
      <c r="L108" s="7"/>
      <c r="M108" s="19" t="s">
        <v>45</v>
      </c>
      <c r="N108" s="17">
        <v>17.3</v>
      </c>
      <c r="O108" s="17">
        <f t="array" ref="O108">_xlfn.XLOOKUP(B108, 'Assembly Competitiveness'!$B$4:$B$120,'Assembly Competitiveness'!$O$4:$O$120, "-")</f>
        <v>28.841</v>
      </c>
      <c r="P108" s="17">
        <f t="array" ref="P108">_xlfn.XLOOKUP(B108,'Assembly Volatality'!$B$4:$B$120,'Assembly Volatality'!$L$4:$L$120, "-")</f>
        <v>52.76</v>
      </c>
      <c r="Q108" s="17">
        <f t="shared" si="9"/>
        <v>34.1</v>
      </c>
      <c r="R108" s="19" t="s">
        <v>45</v>
      </c>
      <c r="S108" s="19" t="s">
        <v>149</v>
      </c>
      <c r="T108" s="7" t="str">
        <f t="shared" si="8"/>
        <v>Battleground</v>
      </c>
      <c r="U108" s="7" t="str">
        <f t="shared" si="3"/>
        <v>Battleground</v>
      </c>
      <c r="V108" s="7" t="str">
        <f t="shared" si="4"/>
        <v>Long Shot</v>
      </c>
      <c r="W108" s="19" t="str">
        <f t="shared" si="5"/>
        <v>Long Shot</v>
      </c>
      <c r="X108" s="7" t="str">
        <f t="shared" si="6"/>
        <v/>
      </c>
      <c r="Y108" s="7"/>
      <c r="Z108" s="7"/>
    </row>
    <row r="109">
      <c r="A109" s="17">
        <v>106.0</v>
      </c>
      <c r="B109" s="19" t="s">
        <v>543</v>
      </c>
      <c r="C109" s="19" t="s">
        <v>542</v>
      </c>
      <c r="D109" s="19" t="s">
        <v>35</v>
      </c>
      <c r="E109" s="19" t="s">
        <v>1256</v>
      </c>
      <c r="F109" s="47" t="str">
        <f t="shared" si="7"/>
        <v>Lean</v>
      </c>
      <c r="G109" s="19" t="s">
        <v>32</v>
      </c>
      <c r="H109" s="19" t="s">
        <v>45</v>
      </c>
      <c r="I109" s="19" t="s">
        <v>32</v>
      </c>
      <c r="J109" s="19" t="s">
        <v>45</v>
      </c>
      <c r="K109" s="19" t="s">
        <v>32</v>
      </c>
      <c r="L109" s="7"/>
      <c r="M109" s="19" t="s">
        <v>287</v>
      </c>
      <c r="N109" s="17">
        <v>4.67</v>
      </c>
      <c r="O109" s="17">
        <f t="array" ref="O109">_xlfn.XLOOKUP(B109, 'Assembly Competitiveness'!$B$4:$B$120,'Assembly Competitiveness'!$O$4:$O$120, "-")</f>
        <v>47.1705</v>
      </c>
      <c r="P109" s="17">
        <f t="array" ref="P109">_xlfn.XLOOKUP(B109,'Assembly Volatality'!$B$4:$B$120,'Assembly Volatality'!$L$4:$L$120, "-")</f>
        <v>40.12</v>
      </c>
      <c r="Q109" s="17">
        <f t="shared" si="9"/>
        <v>52.3</v>
      </c>
      <c r="R109" s="19" t="s">
        <v>287</v>
      </c>
      <c r="S109" s="7"/>
      <c r="T109" s="7" t="str">
        <f t="shared" si="8"/>
        <v>Defend</v>
      </c>
      <c r="U109" s="7" t="str">
        <f t="shared" si="3"/>
        <v>Long Shot</v>
      </c>
      <c r="V109" s="7" t="str">
        <f t="shared" si="4"/>
        <v>Long Shot</v>
      </c>
      <c r="W109" s="19" t="str">
        <f t="shared" si="5"/>
        <v>Long Shot</v>
      </c>
      <c r="X109" s="7" t="str">
        <f t="shared" si="6"/>
        <v/>
      </c>
      <c r="Y109" s="7"/>
      <c r="Z109" s="7"/>
    </row>
    <row r="110">
      <c r="A110" s="17">
        <v>107.0</v>
      </c>
      <c r="B110" s="19" t="s">
        <v>544</v>
      </c>
      <c r="C110" s="19" t="s">
        <v>545</v>
      </c>
      <c r="D110" s="19" t="s">
        <v>35</v>
      </c>
      <c r="E110" s="19" t="s">
        <v>1287</v>
      </c>
      <c r="F110" s="34" t="str">
        <f t="shared" si="7"/>
        <v>Stronghold</v>
      </c>
      <c r="G110" s="19" t="s">
        <v>32</v>
      </c>
      <c r="H110" s="19" t="s">
        <v>45</v>
      </c>
      <c r="I110" s="19" t="s">
        <v>32</v>
      </c>
      <c r="J110" s="19" t="s">
        <v>32</v>
      </c>
      <c r="K110" s="19" t="s">
        <v>32</v>
      </c>
      <c r="L110" s="7"/>
      <c r="M110" s="19" t="s">
        <v>45</v>
      </c>
      <c r="N110" s="17">
        <v>45.59</v>
      </c>
      <c r="O110" s="17">
        <f t="array" ref="O110">_xlfn.XLOOKUP(B110, 'Assembly Competitiveness'!$B$4:$B$120,'Assembly Competitiveness'!$O$4:$O$120, "-")</f>
        <v>27.8</v>
      </c>
      <c r="P110" s="17">
        <f t="array" ref="P110">_xlfn.XLOOKUP(B110,'Assembly Volatality'!$B$4:$B$120,'Assembly Volatality'!$L$4:$L$120, "-")</f>
        <v>58.29</v>
      </c>
      <c r="Q110" s="17">
        <f t="shared" si="9"/>
        <v>50.8</v>
      </c>
      <c r="R110" s="19" t="s">
        <v>45</v>
      </c>
      <c r="S110" s="7"/>
      <c r="T110" s="7" t="str">
        <f t="shared" si="8"/>
        <v>Defend</v>
      </c>
      <c r="U110" s="7" t="str">
        <f t="shared" si="3"/>
        <v>Expand</v>
      </c>
      <c r="V110" s="7" t="str">
        <f t="shared" si="4"/>
        <v>Long Shot</v>
      </c>
      <c r="W110" s="19" t="str">
        <f t="shared" si="5"/>
        <v>Long Shot</v>
      </c>
      <c r="X110" s="7" t="str">
        <f t="shared" si="6"/>
        <v/>
      </c>
      <c r="Y110" s="7"/>
      <c r="Z110" s="7"/>
    </row>
    <row r="111">
      <c r="A111" s="17">
        <v>108.0</v>
      </c>
      <c r="B111" s="19" t="s">
        <v>545</v>
      </c>
      <c r="C111" s="19" t="s">
        <v>545</v>
      </c>
      <c r="D111" s="19" t="s">
        <v>35</v>
      </c>
      <c r="E111" s="19" t="s">
        <v>1319</v>
      </c>
      <c r="F111" s="34" t="str">
        <f t="shared" si="7"/>
        <v>Stronghold</v>
      </c>
      <c r="G111" s="19" t="s">
        <v>32</v>
      </c>
      <c r="H111" s="19" t="s">
        <v>45</v>
      </c>
      <c r="I111" s="19" t="s">
        <v>32</v>
      </c>
      <c r="J111" s="19" t="s">
        <v>32</v>
      </c>
      <c r="K111" s="19" t="s">
        <v>32</v>
      </c>
      <c r="L111" s="7"/>
      <c r="M111" s="19" t="s">
        <v>45</v>
      </c>
      <c r="N111" s="17">
        <v>25.29</v>
      </c>
      <c r="O111" s="17">
        <f t="array" ref="O111">_xlfn.XLOOKUP(B111, 'Assembly Competitiveness'!$B$4:$B$120,'Assembly Competitiveness'!$O$4:$O$120, "-")</f>
        <v>1.436</v>
      </c>
      <c r="P111" s="17">
        <f t="array" ref="P111">_xlfn.XLOOKUP(B111,'Assembly Volatality'!$B$4:$B$120,'Assembly Volatality'!$L$4:$L$120, "-")</f>
        <v>37.73</v>
      </c>
      <c r="Q111" s="17">
        <f t="shared" si="9"/>
        <v>30.7</v>
      </c>
      <c r="R111" s="19" t="s">
        <v>45</v>
      </c>
      <c r="S111" s="7"/>
      <c r="T111" s="7" t="str">
        <f t="shared" si="8"/>
        <v>Defend</v>
      </c>
      <c r="U111" s="7" t="str">
        <f t="shared" si="3"/>
        <v>Expand</v>
      </c>
      <c r="V111" s="7" t="str">
        <f t="shared" si="4"/>
        <v>Long Shot</v>
      </c>
      <c r="W111" s="19" t="str">
        <f t="shared" si="5"/>
        <v>Long Shot</v>
      </c>
      <c r="X111" s="7" t="str">
        <f t="shared" si="6"/>
        <v/>
      </c>
      <c r="Y111" s="7"/>
      <c r="Z111" s="7"/>
    </row>
    <row r="112">
      <c r="A112" s="17">
        <v>109.0</v>
      </c>
      <c r="B112" s="19" t="s">
        <v>547</v>
      </c>
      <c r="C112" s="19" t="s">
        <v>555</v>
      </c>
      <c r="D112" s="19" t="s">
        <v>35</v>
      </c>
      <c r="E112" s="19" t="s">
        <v>1347</v>
      </c>
      <c r="F112" s="46" t="str">
        <f t="shared" si="7"/>
        <v>Battleground</v>
      </c>
      <c r="G112" s="19" t="s">
        <v>32</v>
      </c>
      <c r="H112" s="19" t="s">
        <v>45</v>
      </c>
      <c r="I112" s="19" t="s">
        <v>32</v>
      </c>
      <c r="J112" s="19" t="s">
        <v>45</v>
      </c>
      <c r="K112" s="19" t="s">
        <v>45</v>
      </c>
      <c r="L112" s="7"/>
      <c r="M112" s="19" t="s">
        <v>51</v>
      </c>
      <c r="N112" s="17">
        <v>37.2</v>
      </c>
      <c r="O112" s="17">
        <f t="array" ref="O112">_xlfn.XLOOKUP(B112, 'Assembly Competitiveness'!$B$4:$B$120,'Assembly Competitiveness'!$O$4:$O$120, "-")</f>
        <v>26.036</v>
      </c>
      <c r="P112" s="17">
        <f t="array" ref="P112">_xlfn.XLOOKUP(B112,'Assembly Volatality'!$B$4:$B$120,'Assembly Volatality'!$L$4:$L$120, "-")</f>
        <v>67.02</v>
      </c>
      <c r="Q112" s="17">
        <f t="shared" si="9"/>
        <v>38.5</v>
      </c>
      <c r="R112" s="19" t="s">
        <v>51</v>
      </c>
      <c r="S112" s="19" t="s">
        <v>149</v>
      </c>
      <c r="T112" s="7" t="str">
        <f t="shared" si="8"/>
        <v>Battleground</v>
      </c>
      <c r="U112" s="7" t="str">
        <f t="shared" si="3"/>
        <v>Expand</v>
      </c>
      <c r="V112" s="7" t="str">
        <f t="shared" si="4"/>
        <v>Battleground</v>
      </c>
      <c r="W112" s="19" t="str">
        <f t="shared" si="5"/>
        <v>Long Shot</v>
      </c>
      <c r="X112" s="7" t="str">
        <f t="shared" si="6"/>
        <v>YES</v>
      </c>
      <c r="Y112" s="7"/>
      <c r="Z112" s="7"/>
    </row>
    <row r="113">
      <c r="A113" s="17">
        <v>110.0</v>
      </c>
      <c r="B113" s="19" t="s">
        <v>548</v>
      </c>
      <c r="C113" s="19" t="s">
        <v>555</v>
      </c>
      <c r="D113" s="19" t="s">
        <v>35</v>
      </c>
      <c r="E113" s="19" t="s">
        <v>1381</v>
      </c>
      <c r="F113" s="47" t="str">
        <f t="shared" si="7"/>
        <v>Lean</v>
      </c>
      <c r="G113" s="19" t="s">
        <v>32</v>
      </c>
      <c r="H113" s="19" t="s">
        <v>45</v>
      </c>
      <c r="I113" s="19" t="s">
        <v>32</v>
      </c>
      <c r="J113" s="19" t="s">
        <v>45</v>
      </c>
      <c r="K113" s="19" t="s">
        <v>32</v>
      </c>
      <c r="L113" s="7"/>
      <c r="M113" s="19" t="s">
        <v>45</v>
      </c>
      <c r="N113" s="17">
        <v>36.26</v>
      </c>
      <c r="O113" s="17">
        <f t="array" ref="O113">_xlfn.XLOOKUP(B113, 'Assembly Competitiveness'!$B$4:$B$120,'Assembly Competitiveness'!$O$4:$O$120, "-")</f>
        <v>8.338</v>
      </c>
      <c r="P113" s="17">
        <f t="array" ref="P113">_xlfn.XLOOKUP(B113,'Assembly Volatality'!$B$4:$B$120,'Assembly Volatality'!$L$4:$L$120, "-")</f>
        <v>52.84</v>
      </c>
      <c r="Q113" s="17">
        <f t="shared" si="9"/>
        <v>39.9</v>
      </c>
      <c r="R113" s="19" t="s">
        <v>45</v>
      </c>
      <c r="S113" s="7"/>
      <c r="T113" s="7" t="str">
        <f t="shared" si="8"/>
        <v>Defend</v>
      </c>
      <c r="U113" s="7" t="str">
        <f t="shared" si="3"/>
        <v>Expand</v>
      </c>
      <c r="V113" s="7" t="str">
        <f t="shared" si="4"/>
        <v>Long Shot</v>
      </c>
      <c r="W113" s="19" t="str">
        <f t="shared" si="5"/>
        <v>Long Shot</v>
      </c>
      <c r="X113" s="7" t="str">
        <f t="shared" si="6"/>
        <v/>
      </c>
      <c r="Y113" s="7"/>
      <c r="Z113" s="7"/>
    </row>
    <row r="114">
      <c r="A114" s="17">
        <v>111.0</v>
      </c>
      <c r="B114" s="19" t="s">
        <v>549</v>
      </c>
      <c r="C114" s="19" t="s">
        <v>555</v>
      </c>
      <c r="D114" s="19" t="s">
        <v>35</v>
      </c>
      <c r="E114" s="19" t="s">
        <v>1392</v>
      </c>
      <c r="F114" s="46" t="str">
        <f t="shared" si="7"/>
        <v>Battleground</v>
      </c>
      <c r="G114" s="19" t="s">
        <v>32</v>
      </c>
      <c r="H114" s="19" t="s">
        <v>45</v>
      </c>
      <c r="I114" s="19" t="s">
        <v>32</v>
      </c>
      <c r="J114" s="19" t="s">
        <v>45</v>
      </c>
      <c r="K114" s="19" t="s">
        <v>53</v>
      </c>
      <c r="L114" s="7"/>
      <c r="M114" s="19" t="s">
        <v>53</v>
      </c>
      <c r="N114" s="17">
        <v>16.56</v>
      </c>
      <c r="O114" s="17">
        <f t="array" ref="O114">_xlfn.XLOOKUP(B114, 'Assembly Competitiveness'!$B$4:$B$120,'Assembly Competitiveness'!$O$4:$O$120, "-")</f>
        <v>21.368</v>
      </c>
      <c r="P114" s="17">
        <f t="array" ref="P114">_xlfn.XLOOKUP(B114,'Assembly Volatality'!$B$4:$B$120,'Assembly Volatality'!$L$4:$L$120, "-")</f>
        <v>50.46</v>
      </c>
      <c r="Q114" s="17">
        <f t="shared" si="9"/>
        <v>44.8</v>
      </c>
      <c r="R114" s="19" t="s">
        <v>53</v>
      </c>
      <c r="S114" s="19" t="s">
        <v>149</v>
      </c>
      <c r="T114" s="7" t="str">
        <f t="shared" si="8"/>
        <v>Battleground</v>
      </c>
      <c r="U114" s="7" t="str">
        <f t="shared" si="3"/>
        <v>Long Shot</v>
      </c>
      <c r="V114" s="7" t="str">
        <f t="shared" si="4"/>
        <v>Long Shot</v>
      </c>
      <c r="W114" s="19" t="str">
        <f t="shared" si="5"/>
        <v>Battleground</v>
      </c>
      <c r="X114" s="7" t="str">
        <f t="shared" si="6"/>
        <v/>
      </c>
      <c r="Y114" s="7"/>
      <c r="Z114" s="7"/>
    </row>
    <row r="115">
      <c r="A115" s="17">
        <v>112.0</v>
      </c>
      <c r="B115" s="19" t="s">
        <v>551</v>
      </c>
      <c r="C115" s="19" t="s">
        <v>472</v>
      </c>
      <c r="D115" s="19" t="s">
        <v>35</v>
      </c>
      <c r="E115" s="19" t="s">
        <v>1396</v>
      </c>
      <c r="F115" s="46" t="str">
        <f t="shared" si="7"/>
        <v>Battleground</v>
      </c>
      <c r="G115" s="19" t="s">
        <v>32</v>
      </c>
      <c r="H115" s="19" t="s">
        <v>51</v>
      </c>
      <c r="I115" s="19" t="s">
        <v>32</v>
      </c>
      <c r="J115" s="19" t="s">
        <v>51</v>
      </c>
      <c r="K115" s="19" t="s">
        <v>53</v>
      </c>
      <c r="L115" s="7"/>
      <c r="M115" s="19" t="s">
        <v>45</v>
      </c>
      <c r="N115" s="17">
        <v>10.96</v>
      </c>
      <c r="O115" s="17">
        <f t="array" ref="O115">_xlfn.XLOOKUP(B115, 'Assembly Competitiveness'!$B$4:$B$120,'Assembly Competitiveness'!$O$4:$O$120, "-")</f>
        <v>53.198</v>
      </c>
      <c r="P115" s="17">
        <f t="array" ref="P115">_xlfn.XLOOKUP(B115,'Assembly Volatality'!$B$4:$B$120,'Assembly Volatality'!$L$4:$L$120, "-")</f>
        <v>54.39</v>
      </c>
      <c r="Q115" s="17">
        <f t="shared" si="9"/>
        <v>60.7</v>
      </c>
      <c r="R115" s="19" t="s">
        <v>45</v>
      </c>
      <c r="S115" s="19" t="s">
        <v>149</v>
      </c>
      <c r="T115" s="7" t="str">
        <f t="shared" si="8"/>
        <v>Battleground</v>
      </c>
      <c r="U115" s="7" t="str">
        <f t="shared" si="3"/>
        <v>Battleground</v>
      </c>
      <c r="V115" s="7" t="str">
        <f t="shared" si="4"/>
        <v>Long Shot</v>
      </c>
      <c r="W115" s="19" t="str">
        <f t="shared" si="5"/>
        <v>Expand</v>
      </c>
      <c r="X115" s="7" t="str">
        <f t="shared" si="6"/>
        <v>YES</v>
      </c>
      <c r="Y115" s="7"/>
      <c r="Z115" s="7"/>
    </row>
    <row r="116">
      <c r="A116" s="17">
        <v>113.0</v>
      </c>
      <c r="B116" s="19" t="s">
        <v>553</v>
      </c>
      <c r="C116" s="19" t="s">
        <v>555</v>
      </c>
      <c r="D116" s="19" t="s">
        <v>35</v>
      </c>
      <c r="E116" s="19" t="s">
        <v>1400</v>
      </c>
      <c r="F116" s="25" t="str">
        <f t="shared" si="7"/>
        <v>Opposition Lean</v>
      </c>
      <c r="G116" s="19" t="s">
        <v>32</v>
      </c>
      <c r="H116" s="19" t="s">
        <v>45</v>
      </c>
      <c r="I116" s="19" t="s">
        <v>32</v>
      </c>
      <c r="J116" s="19" t="s">
        <v>45</v>
      </c>
      <c r="K116" s="19" t="s">
        <v>45</v>
      </c>
      <c r="L116" s="7"/>
      <c r="M116" s="19" t="s">
        <v>45</v>
      </c>
      <c r="N116" s="17">
        <v>24.6</v>
      </c>
      <c r="O116" s="17">
        <f t="array" ref="O116">_xlfn.XLOOKUP(B116, 'Assembly Competitiveness'!$B$4:$B$120,'Assembly Competitiveness'!$O$4:$O$120, "-")</f>
        <v>11.892</v>
      </c>
      <c r="P116" s="17">
        <f t="array" ref="P116">_xlfn.XLOOKUP(B116,'Assembly Volatality'!$B$4:$B$120,'Assembly Volatality'!$L$4:$L$120, "-")</f>
        <v>45.7</v>
      </c>
      <c r="Q116" s="17">
        <f t="shared" si="9"/>
        <v>23.6</v>
      </c>
      <c r="R116" s="19" t="s">
        <v>45</v>
      </c>
      <c r="S116" s="19" t="s">
        <v>149</v>
      </c>
      <c r="T116" s="7" t="str">
        <f t="shared" si="8"/>
        <v>Battleground</v>
      </c>
      <c r="U116" s="7" t="str">
        <f t="shared" si="3"/>
        <v>Battleground</v>
      </c>
      <c r="V116" s="7" t="str">
        <f t="shared" si="4"/>
        <v>Long Shot</v>
      </c>
      <c r="W116" s="19" t="str">
        <f t="shared" si="5"/>
        <v>Long Shot</v>
      </c>
      <c r="X116" s="7" t="str">
        <f t="shared" si="6"/>
        <v/>
      </c>
      <c r="Y116" s="7"/>
      <c r="Z116" s="7"/>
    </row>
    <row r="117">
      <c r="A117" s="17">
        <v>114.0</v>
      </c>
      <c r="B117" s="19" t="s">
        <v>554</v>
      </c>
      <c r="C117" s="19" t="s">
        <v>555</v>
      </c>
      <c r="D117" s="19" t="s">
        <v>35</v>
      </c>
      <c r="E117" s="19" t="s">
        <v>1404</v>
      </c>
      <c r="F117" s="47" t="str">
        <f t="shared" si="7"/>
        <v>Lean</v>
      </c>
      <c r="G117" s="19" t="s">
        <v>32</v>
      </c>
      <c r="H117" s="19" t="s">
        <v>51</v>
      </c>
      <c r="I117" s="19" t="s">
        <v>32</v>
      </c>
      <c r="J117" s="19" t="s">
        <v>45</v>
      </c>
      <c r="K117" s="19" t="s">
        <v>32</v>
      </c>
      <c r="L117" s="7"/>
      <c r="M117" s="19" t="s">
        <v>51</v>
      </c>
      <c r="N117" s="17">
        <v>30.06</v>
      </c>
      <c r="O117" s="17">
        <f t="array" ref="O117">_xlfn.XLOOKUP(B117, 'Assembly Competitiveness'!$B$4:$B$120,'Assembly Competitiveness'!$O$4:$O$120, "-")</f>
        <v>27.03</v>
      </c>
      <c r="P117" s="17">
        <f t="array" ref="P117">_xlfn.XLOOKUP(B117,'Assembly Volatality'!$B$4:$B$120,'Assembly Volatality'!$L$4:$L$120, "-")</f>
        <v>61.25</v>
      </c>
      <c r="Q117" s="17">
        <f t="shared" si="9"/>
        <v>51.7</v>
      </c>
      <c r="R117" s="19" t="s">
        <v>51</v>
      </c>
      <c r="S117" s="7"/>
      <c r="T117" s="7" t="str">
        <f t="shared" si="8"/>
        <v>Defend</v>
      </c>
      <c r="U117" s="7" t="str">
        <f t="shared" si="3"/>
        <v>Long Shot</v>
      </c>
      <c r="V117" s="7" t="str">
        <f t="shared" si="4"/>
        <v>Expand</v>
      </c>
      <c r="W117" s="19" t="str">
        <f t="shared" si="5"/>
        <v>Long Shot</v>
      </c>
      <c r="X117" s="7" t="str">
        <f t="shared" si="6"/>
        <v/>
      </c>
      <c r="Y117" s="7"/>
      <c r="Z117" s="7"/>
    </row>
    <row r="118">
      <c r="A118" s="17">
        <v>115.0</v>
      </c>
      <c r="B118" s="19" t="s">
        <v>555</v>
      </c>
      <c r="C118" s="19" t="s">
        <v>555</v>
      </c>
      <c r="D118" s="19" t="s">
        <v>35</v>
      </c>
      <c r="E118" s="19" t="s">
        <v>1406</v>
      </c>
      <c r="F118" s="46" t="str">
        <f t="shared" si="7"/>
        <v>Battleground</v>
      </c>
      <c r="G118" s="19" t="s">
        <v>32</v>
      </c>
      <c r="H118" s="19" t="s">
        <v>45</v>
      </c>
      <c r="I118" s="19" t="s">
        <v>32</v>
      </c>
      <c r="J118" s="19" t="s">
        <v>45</v>
      </c>
      <c r="K118" s="19" t="s">
        <v>53</v>
      </c>
      <c r="L118" s="7"/>
      <c r="M118" s="19" t="s">
        <v>556</v>
      </c>
      <c r="N118" s="17">
        <v>19.35</v>
      </c>
      <c r="O118" s="17">
        <f t="array" ref="O118">_xlfn.XLOOKUP(B118, 'Assembly Competitiveness'!$B$4:$B$120,'Assembly Competitiveness'!$O$4:$O$120, "-")</f>
        <v>21.4625</v>
      </c>
      <c r="P118" s="17">
        <f t="array" ref="P118">_xlfn.XLOOKUP(B118,'Assembly Volatality'!$B$4:$B$120,'Assembly Volatality'!$L$4:$L$120, "-")</f>
        <v>67.2</v>
      </c>
      <c r="Q118" s="17">
        <f t="shared" si="9"/>
        <v>51.5</v>
      </c>
      <c r="R118" s="19" t="s">
        <v>556</v>
      </c>
      <c r="S118" s="19" t="s">
        <v>149</v>
      </c>
      <c r="T118" s="7" t="str">
        <f t="shared" si="8"/>
        <v>Battleground</v>
      </c>
      <c r="U118" s="7" t="str">
        <f t="shared" si="3"/>
        <v>Long Shot</v>
      </c>
      <c r="V118" s="7" t="str">
        <f t="shared" si="4"/>
        <v>Long Shot</v>
      </c>
      <c r="W118" s="19" t="str">
        <f t="shared" si="5"/>
        <v>Expand</v>
      </c>
      <c r="X118" s="7" t="str">
        <f t="shared" si="6"/>
        <v/>
      </c>
      <c r="Y118" s="7"/>
      <c r="Z118" s="7"/>
    </row>
    <row r="119">
      <c r="A119" s="17">
        <v>116.0</v>
      </c>
      <c r="B119" s="19" t="s">
        <v>557</v>
      </c>
      <c r="C119" s="19" t="s">
        <v>555</v>
      </c>
      <c r="D119" s="19" t="s">
        <v>35</v>
      </c>
      <c r="E119" s="19" t="s">
        <v>1408</v>
      </c>
      <c r="F119" s="47" t="str">
        <f t="shared" si="7"/>
        <v>Lean</v>
      </c>
      <c r="G119" s="19" t="s">
        <v>32</v>
      </c>
      <c r="H119" s="19" t="s">
        <v>45</v>
      </c>
      <c r="I119" s="19" t="s">
        <v>32</v>
      </c>
      <c r="J119" s="19" t="s">
        <v>45</v>
      </c>
      <c r="K119" s="19" t="s">
        <v>32</v>
      </c>
      <c r="L119" s="7"/>
      <c r="M119" s="19" t="s">
        <v>51</v>
      </c>
      <c r="N119" s="17">
        <v>26.97</v>
      </c>
      <c r="O119" s="17">
        <f t="array" ref="O119">_xlfn.XLOOKUP(B119, 'Assembly Competitiveness'!$B$4:$B$120,'Assembly Competitiveness'!$O$4:$O$120, "-")</f>
        <v>21.478</v>
      </c>
      <c r="P119" s="17">
        <f t="array" ref="P119">_xlfn.XLOOKUP(B119,'Assembly Volatality'!$B$4:$B$120,'Assembly Volatality'!$L$4:$L$120, "-")</f>
        <v>56.5</v>
      </c>
      <c r="Q119" s="17">
        <f t="shared" si="9"/>
        <v>47.3</v>
      </c>
      <c r="R119" s="19" t="s">
        <v>51</v>
      </c>
      <c r="S119" s="7"/>
      <c r="T119" s="7" t="str">
        <f t="shared" si="8"/>
        <v>Defend</v>
      </c>
      <c r="U119" s="7" t="str">
        <f t="shared" si="3"/>
        <v>Long Shot</v>
      </c>
      <c r="V119" s="7" t="str">
        <f t="shared" si="4"/>
        <v>Expand</v>
      </c>
      <c r="W119" s="19" t="str">
        <f t="shared" si="5"/>
        <v>Long Shot</v>
      </c>
      <c r="X119" s="7" t="str">
        <f t="shared" si="6"/>
        <v/>
      </c>
      <c r="Y119" s="7"/>
      <c r="Z119" s="7"/>
    </row>
    <row r="120">
      <c r="A120" s="17">
        <v>117.0</v>
      </c>
      <c r="B120" s="19" t="s">
        <v>559</v>
      </c>
      <c r="C120" s="19" t="s">
        <v>555</v>
      </c>
      <c r="D120" s="19" t="s">
        <v>35</v>
      </c>
      <c r="E120" s="19" t="s">
        <v>1410</v>
      </c>
      <c r="F120" s="47" t="str">
        <f t="shared" si="7"/>
        <v>Lean</v>
      </c>
      <c r="G120" s="19" t="s">
        <v>32</v>
      </c>
      <c r="H120" s="19" t="s">
        <v>45</v>
      </c>
      <c r="I120" s="19" t="s">
        <v>32</v>
      </c>
      <c r="J120" s="19" t="s">
        <v>45</v>
      </c>
      <c r="K120" s="19" t="s">
        <v>32</v>
      </c>
      <c r="L120" s="7"/>
      <c r="M120" s="19" t="s">
        <v>51</v>
      </c>
      <c r="N120" s="17">
        <v>37.85</v>
      </c>
      <c r="O120" s="17">
        <f t="array" ref="O120">_xlfn.XLOOKUP(B120, 'Assembly Competitiveness'!$B$4:$B$120,'Assembly Competitiveness'!$O$4:$O$120, "-")</f>
        <v>16.324</v>
      </c>
      <c r="P120" s="17">
        <f t="array" ref="P120">_xlfn.XLOOKUP(B120,'Assembly Volatality'!$B$4:$B$120,'Assembly Volatality'!$L$4:$L$120, "-")</f>
        <v>61.88</v>
      </c>
      <c r="Q120" s="17">
        <f t="shared" si="9"/>
        <v>47.1</v>
      </c>
      <c r="R120" s="19" t="s">
        <v>51</v>
      </c>
      <c r="S120" s="7"/>
      <c r="T120" s="7" t="str">
        <f t="shared" si="8"/>
        <v>Defend</v>
      </c>
      <c r="U120" s="7" t="str">
        <f t="shared" si="3"/>
        <v>Long Shot</v>
      </c>
      <c r="V120" s="7" t="str">
        <f t="shared" si="4"/>
        <v>Expand</v>
      </c>
      <c r="W120" s="19" t="str">
        <f t="shared" si="5"/>
        <v>Long Shot</v>
      </c>
      <c r="X120" s="7" t="str">
        <f t="shared" si="6"/>
        <v/>
      </c>
      <c r="Y120" s="7"/>
      <c r="Z120" s="7"/>
    </row>
    <row r="121">
      <c r="A121" s="24"/>
      <c r="B121" s="24"/>
      <c r="C121" s="24"/>
      <c r="D121" s="24"/>
      <c r="E121" s="24"/>
      <c r="F121" s="7"/>
      <c r="G121" s="24"/>
      <c r="H121" s="24"/>
      <c r="I121" s="24"/>
      <c r="J121" s="24"/>
      <c r="K121" s="24"/>
      <c r="L121" s="24"/>
      <c r="M121" s="24"/>
      <c r="N121" s="24"/>
      <c r="O121" s="24"/>
      <c r="P121" s="17"/>
      <c r="Q121" s="24"/>
      <c r="R121" s="24"/>
      <c r="S121" s="24"/>
      <c r="T121" s="24"/>
      <c r="U121" s="24"/>
      <c r="V121" s="24"/>
      <c r="W121" s="24"/>
      <c r="X121" s="24">
        <f>COUNTA(X4:X120)-COUNTBLANK(X4:X120)</f>
        <v>44</v>
      </c>
      <c r="Y121" s="24"/>
      <c r="Z121" s="24"/>
    </row>
    <row r="122">
      <c r="A122" s="24"/>
      <c r="B122" s="24"/>
      <c r="C122" s="24"/>
      <c r="D122" s="24"/>
      <c r="E122" s="24"/>
      <c r="F122" s="7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</row>
    <row r="123">
      <c r="A123" s="24"/>
      <c r="B123" s="24"/>
      <c r="C123" s="24"/>
      <c r="D123" s="24"/>
      <c r="E123" s="24"/>
      <c r="F123" s="7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4"/>
      <c r="B124" s="24"/>
      <c r="C124" s="24"/>
      <c r="D124" s="24"/>
      <c r="E124" s="24"/>
      <c r="F124" s="7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4"/>
      <c r="B125" s="24"/>
      <c r="C125" s="24"/>
      <c r="D125" s="137"/>
      <c r="E125" s="24"/>
      <c r="F125" s="7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4"/>
      <c r="B126" s="24"/>
      <c r="C126" s="24"/>
      <c r="D126" s="138"/>
      <c r="E126" s="24"/>
      <c r="F126" s="7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4"/>
      <c r="B127" s="24"/>
      <c r="C127" s="24"/>
      <c r="D127" s="138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4"/>
      <c r="B128" s="24"/>
      <c r="C128" s="24"/>
      <c r="D128" s="139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4"/>
      <c r="B129" s="24"/>
      <c r="C129" s="24"/>
      <c r="D129" s="138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4"/>
      <c r="B130" s="24"/>
      <c r="C130" s="24"/>
      <c r="D130" s="138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4"/>
      <c r="B131" s="24"/>
      <c r="C131" s="24"/>
      <c r="D131" s="140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</sheetData>
  <conditionalFormatting sqref="T4:W120">
    <cfRule type="cellIs" dxfId="4" priority="1" stopIfTrue="1" operator="equal">
      <formula>"Defend"</formula>
    </cfRule>
  </conditionalFormatting>
  <conditionalFormatting sqref="T4:W120">
    <cfRule type="cellIs" dxfId="5" priority="2" stopIfTrue="1" operator="equal">
      <formula>"Battleground"</formula>
    </cfRule>
  </conditionalFormatting>
  <conditionalFormatting sqref="T4:W120">
    <cfRule type="cellIs" dxfId="6" priority="3" stopIfTrue="1" operator="equal">
      <formula>"Expand"</formula>
    </cfRule>
  </conditionalFormatting>
  <conditionalFormatting sqref="T4:W120">
    <cfRule type="cellIs" dxfId="7" priority="4" stopIfTrue="1" operator="equal">
      <formula>"Long Shot"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5" max="5" width="43.5"/>
    <col customWidth="1" min="16" max="16" width="40.0"/>
    <col customWidth="1" min="17" max="17" width="80.0"/>
    <col customWidth="1" min="18" max="18" width="43.88"/>
  </cols>
  <sheetData>
    <row r="1">
      <c r="A1" s="2" t="s">
        <v>1</v>
      </c>
      <c r="B1" s="4"/>
      <c r="C1" s="4"/>
      <c r="D1" s="4"/>
      <c r="E1" s="4"/>
      <c r="F1" s="4"/>
      <c r="G1" s="4"/>
      <c r="H1" s="4"/>
      <c r="S1" s="6"/>
    </row>
    <row r="2">
      <c r="A2" s="9" t="s">
        <v>5</v>
      </c>
      <c r="B2" s="9" t="s">
        <v>7</v>
      </c>
      <c r="C2" s="9" t="s">
        <v>8</v>
      </c>
      <c r="D2" s="9" t="s">
        <v>9</v>
      </c>
      <c r="E2" s="9" t="s">
        <v>11</v>
      </c>
      <c r="F2" s="9" t="s">
        <v>12</v>
      </c>
      <c r="G2" s="9" t="s">
        <v>13</v>
      </c>
      <c r="H2" s="9" t="s">
        <v>15</v>
      </c>
      <c r="I2" s="9" t="s">
        <v>16</v>
      </c>
      <c r="J2" s="9" t="s">
        <v>18</v>
      </c>
      <c r="K2" s="9" t="s">
        <v>20</v>
      </c>
      <c r="L2" s="9" t="s">
        <v>22</v>
      </c>
      <c r="M2" s="9" t="s">
        <v>24</v>
      </c>
      <c r="N2" s="9" t="s">
        <v>25</v>
      </c>
      <c r="O2" s="9" t="s">
        <v>27</v>
      </c>
      <c r="P2" s="9" t="s">
        <v>28</v>
      </c>
      <c r="Q2" s="9" t="s">
        <v>29</v>
      </c>
      <c r="R2" s="9" t="s">
        <v>30</v>
      </c>
      <c r="S2" s="14" t="s">
        <v>31</v>
      </c>
    </row>
    <row r="3">
      <c r="A3" s="17">
        <v>1.0</v>
      </c>
      <c r="B3" s="17">
        <v>68.0</v>
      </c>
      <c r="C3" s="19" t="s">
        <v>34</v>
      </c>
      <c r="D3" s="19" t="s">
        <v>35</v>
      </c>
      <c r="E3" s="19" t="str">
        <f t="array" ref="E3">_xlfn.XLOOKUP(C3,'117 Battles '!$B$4:$B$120,'117 Battles '!$E$4:$E$120,"-")</f>
        <v>Manpreet Singh Ayali (elected SAD; joined WPD)</v>
      </c>
      <c r="F3" s="22" t="str">
        <f t="array" ref="F3">_xlfn.XLOOKUP(C3,'117 Battles '!$B$4:$B$120,'117 Battles '!$G$4:$G$120,"-")</f>
        <v>EMERGING</v>
      </c>
      <c r="G3" s="22" t="str">
        <f t="array" ref="G3">_xlfn.XLOOKUP(C3,'117 Battles '!$B$4:$B$120,'117 Battles '!$H$4:$H$120,"-")</f>
        <v>AAP</v>
      </c>
      <c r="H3" s="19" t="str">
        <f t="array" ref="H3">_xlfn.XLOOKUP(C3,'117 Battles '!$B$4:$B$120,'117 Battles '!$I$4:$I$120,"-")</f>
        <v>SAD</v>
      </c>
      <c r="I3" s="19" t="str">
        <f t="array" ref="I3">_xlfn.XLOOKUP(C3,'117 Battles '!$B$4:$B$120,'117 Battles '!$M$4:$M$120,"-")</f>
        <v>INC</v>
      </c>
      <c r="J3" s="17">
        <f t="array" ref="J3">_xlfn.XLOOKUP(C3,'2022 Assembly'!$B$4:$B$120,'2022 Assembly'!$O$4:$O$120,"-")</f>
        <v>4.1</v>
      </c>
      <c r="K3" s="19" t="str">
        <f t="array" ref="K3">_xlfn.XLOOKUP(C3,'117 Battles '!$B$4:$B$120,'117 Battles '!$K$4:$K$120,"-")</f>
        <v>INC</v>
      </c>
      <c r="L3" s="17">
        <f t="array" ref="L3">_xlfn.Xlookup(C3,'Assembly Competitiveness'!$B$4:$B$120,'Assembly Competitiveness'!$O$4:$O$120,"-")</f>
        <v>78.397</v>
      </c>
      <c r="M3" s="17">
        <f t="array" ref="M3">_xlfn.XLOOKUP(C3,'Assembly Volatality'!$B$4:$B$120,'Assembly Volatality'!$L$4:$L$120,"-")</f>
        <v>71.43</v>
      </c>
      <c r="N3" s="19" t="str">
        <f t="array" ref="N3">_xlfn.XLOOKUP(C3,'117 Battles '!$B$4:$B$120,'117 Battles '!$F$4:$F$120,"-")</f>
        <v>Highly Volatile</v>
      </c>
      <c r="O3" s="19" t="str">
        <f t="array" ref="O3">_xlfn.XLOOKUP(C3,'117 Battles '!$B$4:$B$120,'117 Battles '!$R$4:$R$120,"-")</f>
        <v>INC</v>
      </c>
      <c r="P3" s="22" t="s">
        <v>138</v>
      </c>
      <c r="Q3" s="19" t="s">
        <v>139</v>
      </c>
      <c r="R3" s="19" t="s">
        <v>140</v>
      </c>
      <c r="S3" s="6">
        <f t="shared" ref="S3:S18" si="1">ROUND((0.6 * L3) + (0.4 * M3), 1)</f>
        <v>75.6</v>
      </c>
    </row>
    <row r="4">
      <c r="A4" s="17">
        <v>2.0</v>
      </c>
      <c r="B4" s="17">
        <v>84.0</v>
      </c>
      <c r="C4" s="19" t="s">
        <v>148</v>
      </c>
      <c r="D4" s="19" t="s">
        <v>35</v>
      </c>
      <c r="E4" s="19" t="str">
        <f t="array" ref="E4">_xlfn.XLOOKUP(C4,'117 Battles '!$B$4:$B$120,'117 Battles '!$E$4:$E$120,"-")</f>
        <v>Hardeep Singh Dimpy Dhillon</v>
      </c>
      <c r="F4" s="22" t="str">
        <f t="array" ref="F4">_xlfn.XLOOKUP(C4,'117 Battles '!$B$4:$B$120,'117 Battles '!$G$4:$G$120,"-")</f>
        <v>AAP</v>
      </c>
      <c r="G4" s="22" t="str">
        <f t="array" ref="G4">_xlfn.XLOOKUP(C4,'117 Battles '!$B$4:$B$120,'117 Battles '!$H$4:$H$120,"-")</f>
        <v>INC</v>
      </c>
      <c r="H4" s="19" t="str">
        <f t="array" ref="H4">_xlfn.XLOOKUP(C4,'117 Battles '!$B$4:$B$120,'117 Battles '!$I$4:$I$120,"-")</f>
        <v>INC</v>
      </c>
      <c r="I4" s="19" t="str">
        <f t="array" ref="I4">_xlfn.XLOOKUP(C4,'117 Battles '!$B$4:$B$120,'117 Battles '!$M$4:$M$120,"-")</f>
        <v>SAD</v>
      </c>
      <c r="J4" s="17">
        <f t="array" ref="J4">_xlfn.XLOOKUP(C4,'2022 Assembly'!$B$4:$B$120,'2022 Assembly'!$O$4:$O$120,"-")</f>
        <v>0.95</v>
      </c>
      <c r="K4" s="19" t="str">
        <f t="array" ref="K4">_xlfn.XLOOKUP(C4,'117 Battles '!$B$4:$B$120,'117 Battles '!$K$4:$K$120,"-")</f>
        <v>EMERGING</v>
      </c>
      <c r="L4" s="17">
        <f t="array" ref="L4">_xlfn.Xlookup(C4,'Assembly Competitiveness'!$B$4:$B$120,'Assembly Competitiveness'!$O$4:$O$120,"-")</f>
        <v>80.4505</v>
      </c>
      <c r="M4" s="17">
        <f t="array" ref="M4">_xlfn.XLOOKUP(C4,'Assembly Volatality'!$B$4:$B$120,'Assembly Volatality'!$L$4:$L$120,"-")</f>
        <v>48.5</v>
      </c>
      <c r="N4" s="19" t="str">
        <f t="array" ref="N4">_xlfn.XLOOKUP(C4,'117 Battles '!$B$4:$B$120,'117 Battles '!$F$4:$F$120,"-")</f>
        <v>Highly Volatile</v>
      </c>
      <c r="O4" s="19" t="str">
        <f t="array" ref="O4">_xlfn.XLOOKUP(C4,'117 Battles '!$B$4:$B$120,'117 Battles '!$R$4:$R$120,"-")</f>
        <v>INC</v>
      </c>
      <c r="P4" s="22" t="s">
        <v>210</v>
      </c>
      <c r="Q4" s="19" t="s">
        <v>139</v>
      </c>
      <c r="R4" s="19" t="s">
        <v>140</v>
      </c>
      <c r="S4" s="6">
        <f t="shared" si="1"/>
        <v>67.7</v>
      </c>
    </row>
    <row r="5">
      <c r="A5" s="17">
        <v>3.0</v>
      </c>
      <c r="B5" s="17">
        <v>46.0</v>
      </c>
      <c r="C5" s="19" t="s">
        <v>211</v>
      </c>
      <c r="D5" s="19" t="s">
        <v>127</v>
      </c>
      <c r="E5" s="19" t="str">
        <f t="array" ref="E5">_xlfn.XLOOKUP(C5,'117 Battles '!$B$4:$B$120,'117 Battles '!$E$4:$E$120,"-")</f>
        <v>Sukhwinder Kumar Sukhi (elected SAD; joined AAP)</v>
      </c>
      <c r="F5" s="22" t="str">
        <f t="array" ref="F5">_xlfn.XLOOKUP(C5,'117 Battles '!$B$4:$B$120,'117 Battles '!$G$4:$G$120,"-")</f>
        <v>AAP</v>
      </c>
      <c r="G5" s="22" t="str">
        <f t="array" ref="G5">_xlfn.XLOOKUP(C5,'117 Battles '!$B$4:$B$120,'117 Battles '!$H$4:$H$120,"-")</f>
        <v>SAD</v>
      </c>
      <c r="H5" s="19" t="str">
        <f t="array" ref="H5">_xlfn.XLOOKUP(C5,'117 Battles '!$B$4:$B$120,'117 Battles '!$I$4:$I$120,"-")</f>
        <v>SAD</v>
      </c>
      <c r="I5" s="19" t="str">
        <f t="array" ref="I5">_xlfn.XLOOKUP(C5,'117 Battles '!$B$4:$B$120,'117 Battles '!$M$4:$M$120,"-")</f>
        <v>INC</v>
      </c>
      <c r="J5" s="17">
        <f t="array" ref="J5">_xlfn.XLOOKUP(C5,'2022 Assembly'!$B$4:$B$120,'2022 Assembly'!$O$4:$O$120,"-")</f>
        <v>4.43</v>
      </c>
      <c r="K5" s="19" t="str">
        <f t="array" ref="K5">_xlfn.XLOOKUP(C5,'117 Battles '!$B$4:$B$120,'117 Battles '!$K$4:$K$120,"-")</f>
        <v>AAP</v>
      </c>
      <c r="L5" s="17">
        <f t="array" ref="L5">_xlfn.Xlookup(C5,'Assembly Competitiveness'!$B$4:$B$120,'Assembly Competitiveness'!$O$4:$O$120,"-")</f>
        <v>79.6345</v>
      </c>
      <c r="M5" s="17">
        <f t="array" ref="M5">_xlfn.XLOOKUP(C5,'Assembly Volatality'!$B$4:$B$120,'Assembly Volatality'!$L$4:$L$120,"-")</f>
        <v>44.76</v>
      </c>
      <c r="N5" s="19" t="str">
        <f t="array" ref="N5">_xlfn.XLOOKUP(C5,'117 Battles '!$B$4:$B$120,'117 Battles '!$F$4:$F$120,"-")</f>
        <v>Highly Volatile</v>
      </c>
      <c r="O5" s="19" t="str">
        <f t="array" ref="O5">_xlfn.XLOOKUP(C5,'117 Battles '!$B$4:$B$120,'117 Battles '!$R$4:$R$120,"-")</f>
        <v>SAD</v>
      </c>
      <c r="P5" s="22" t="s">
        <v>212</v>
      </c>
      <c r="Q5" s="19" t="s">
        <v>213</v>
      </c>
      <c r="R5" s="19" t="s">
        <v>214</v>
      </c>
      <c r="S5" s="6">
        <f t="shared" si="1"/>
        <v>65.7</v>
      </c>
    </row>
    <row r="6">
      <c r="A6" s="17">
        <v>4.0</v>
      </c>
      <c r="B6" s="17">
        <v>35.0</v>
      </c>
      <c r="C6" s="19" t="s">
        <v>215</v>
      </c>
      <c r="D6" s="19" t="s">
        <v>127</v>
      </c>
      <c r="E6" s="19" t="str">
        <f t="array" ref="E6">_xlfn.XLOOKUP(C6,'117 Battles '!$B$4:$B$120,'117 Battles '!$E$4:$E$120,"-")</f>
        <v>Raman Arora</v>
      </c>
      <c r="F6" s="22" t="str">
        <f t="array" ref="F6">_xlfn.XLOOKUP(C6,'117 Battles '!$B$4:$B$120,'117 Battles '!$G$4:$G$120,"-")</f>
        <v>AAP</v>
      </c>
      <c r="G6" s="22" t="str">
        <f t="array" ref="G6">_xlfn.XLOOKUP(C6,'117 Battles '!$B$4:$B$120,'117 Battles '!$H$4:$H$120,"-")</f>
        <v>INC</v>
      </c>
      <c r="H6" s="19" t="str">
        <f t="array" ref="H6">_xlfn.XLOOKUP(C6,'117 Battles '!$B$4:$B$120,'117 Battles '!$I$4:$I$120,"-")</f>
        <v>AAP</v>
      </c>
      <c r="I6" s="19" t="str">
        <f t="array" ref="I6">_xlfn.XLOOKUP(C6,'117 Battles '!$B$4:$B$120,'117 Battles '!$M$4:$M$120,"-")</f>
        <v>INC</v>
      </c>
      <c r="J6" s="17">
        <f t="array" ref="J6">_xlfn.XLOOKUP(C6,'2022 Assembly'!$B$4:$B$120,'2022 Assembly'!$O$4:$O$120,"-")</f>
        <v>0.23</v>
      </c>
      <c r="K6" s="19" t="str">
        <f t="array" ref="K6">_xlfn.XLOOKUP(C6,'117 Battles '!$B$4:$B$120,'117 Battles '!$K$4:$K$120,"-")</f>
        <v>BJP</v>
      </c>
      <c r="L6" s="17">
        <f t="array" ref="L6">_xlfn.Xlookup(C6,'Assembly Competitiveness'!$B$4:$B$120,'Assembly Competitiveness'!$O$4:$O$120,"-")</f>
        <v>63.5385</v>
      </c>
      <c r="M6" s="17">
        <f t="array" ref="M6">_xlfn.XLOOKUP(C6,'Assembly Volatality'!$B$4:$B$120,'Assembly Volatality'!$L$4:$L$120,"-")</f>
        <v>69.04</v>
      </c>
      <c r="N6" s="19" t="str">
        <f t="array" ref="N6">_xlfn.XLOOKUP(C6,'117 Battles '!$B$4:$B$120,'117 Battles '!$F$4:$F$120,"-")</f>
        <v>Highly Volatile</v>
      </c>
      <c r="O6" s="19" t="str">
        <f t="array" ref="O6">_xlfn.XLOOKUP(C6,'117 Battles '!$B$4:$B$120,'117 Battles '!$R$4:$R$120,"-")</f>
        <v>INC</v>
      </c>
      <c r="P6" s="7"/>
      <c r="Q6" s="19" t="s">
        <v>218</v>
      </c>
      <c r="R6" s="19" t="s">
        <v>219</v>
      </c>
      <c r="S6" s="6">
        <f t="shared" si="1"/>
        <v>65.7</v>
      </c>
    </row>
    <row r="7">
      <c r="A7" s="17">
        <v>5.0</v>
      </c>
      <c r="B7" s="17">
        <v>64.0</v>
      </c>
      <c r="C7" s="19" t="s">
        <v>220</v>
      </c>
      <c r="D7" s="19" t="s">
        <v>35</v>
      </c>
      <c r="E7" s="19" t="str">
        <f t="array" ref="E7">_xlfn.XLOOKUP(C7,'117 Battles '!$B$4:$B$120,'117 Battles '!$E$4:$E$120,"-")</f>
        <v>Sanjeev Arora</v>
      </c>
      <c r="F7" s="22" t="str">
        <f t="array" ref="F7">_xlfn.XLOOKUP(C7,'117 Battles '!$B$4:$B$120,'117 Battles '!$G$4:$G$120,"-")</f>
        <v>AAP</v>
      </c>
      <c r="G7" s="22" t="str">
        <f t="array" ref="G7">_xlfn.XLOOKUP(C7,'117 Battles '!$B$4:$B$120,'117 Battles '!$H$4:$H$120,"-")</f>
        <v>INC</v>
      </c>
      <c r="H7" s="19" t="str">
        <f t="array" ref="H7">_xlfn.XLOOKUP(C7,'117 Battles '!$B$4:$B$120,'117 Battles '!$I$4:$I$120,"-")</f>
        <v>AAP</v>
      </c>
      <c r="I7" s="19" t="str">
        <f t="array" ref="I7">_xlfn.XLOOKUP(C7,'117 Battles '!$B$4:$B$120,'117 Battles '!$M$4:$M$120,"-")</f>
        <v>INC</v>
      </c>
      <c r="J7" s="17">
        <f t="array" ref="J7">_xlfn.XLOOKUP(C7,'2022 Assembly'!$B$4:$B$120,'2022 Assembly'!$O$4:$O$120,"-")</f>
        <v>6.47</v>
      </c>
      <c r="K7" s="19" t="str">
        <f t="array" ref="K7">_xlfn.XLOOKUP(C7,'117 Battles '!$B$4:$B$120,'117 Battles '!$K$4:$K$120,"-")</f>
        <v>BJP</v>
      </c>
      <c r="L7" s="17">
        <f t="array" ref="L7">_xlfn.Xlookup(C7,'Assembly Competitiveness'!$B$4:$B$120,'Assembly Competitiveness'!$O$4:$O$120,"-")</f>
        <v>54.3825</v>
      </c>
      <c r="M7" s="17">
        <f t="array" ref="M7">_xlfn.XLOOKUP(C7,'Assembly Volatality'!$B$4:$B$120,'Assembly Volatality'!$L$4:$L$120,"-")</f>
        <v>75.46</v>
      </c>
      <c r="N7" s="19" t="str">
        <f t="array" ref="N7">_xlfn.XLOOKUP(C7,'117 Battles '!$B$4:$B$120,'117 Battles '!$F$4:$F$120,"-")</f>
        <v>Highly Volatile</v>
      </c>
      <c r="O7" s="19" t="str">
        <f t="array" ref="O7">_xlfn.XLOOKUP(C7,'117 Battles '!$B$4:$B$120,'117 Battles '!$R$4:$R$120,"-")</f>
        <v>INC</v>
      </c>
      <c r="P7" s="22" t="s">
        <v>221</v>
      </c>
      <c r="Q7" s="19" t="s">
        <v>222</v>
      </c>
      <c r="R7" s="19" t="s">
        <v>223</v>
      </c>
      <c r="S7" s="6">
        <f t="shared" si="1"/>
        <v>62.8</v>
      </c>
    </row>
    <row r="8">
      <c r="A8" s="17">
        <v>6.0</v>
      </c>
      <c r="B8" s="17">
        <v>2.0</v>
      </c>
      <c r="C8" s="19" t="s">
        <v>216</v>
      </c>
      <c r="D8" s="19" t="s">
        <v>61</v>
      </c>
      <c r="E8" s="19" t="str">
        <f t="array" ref="E8">_xlfn.XLOOKUP(C8,'117 Battles '!$B$4:$B$120,'117 Battles '!$E$4:$E$120,"-")</f>
        <v>Lal Chand</v>
      </c>
      <c r="F8" s="22" t="str">
        <f t="array" ref="F8">_xlfn.XLOOKUP(C8,'117 Battles '!$B$4:$B$120,'117 Battles '!$G$4:$G$120,"-")</f>
        <v>AAP</v>
      </c>
      <c r="G8" s="22" t="str">
        <f t="array" ref="G8">_xlfn.XLOOKUP(C8,'117 Battles '!$B$4:$B$120,'117 Battles '!$H$4:$H$120,"-")</f>
        <v>INC</v>
      </c>
      <c r="H8" s="19" t="str">
        <f t="array" ref="H8">_xlfn.XLOOKUP(C8,'117 Battles '!$B$4:$B$120,'117 Battles '!$I$4:$I$120,"-")</f>
        <v>AAP</v>
      </c>
      <c r="I8" s="19" t="str">
        <f t="array" ref="I8">_xlfn.XLOOKUP(C8,'117 Battles '!$B$4:$B$120,'117 Battles '!$M$4:$M$120,"-")</f>
        <v>INC</v>
      </c>
      <c r="J8" s="17">
        <f t="array" ref="J8">_xlfn.XLOOKUP(C8,'2022 Assembly'!$B$4:$B$120,'2022 Assembly'!$O$4:$O$120,"-")</f>
        <v>0.88</v>
      </c>
      <c r="K8" s="19" t="str">
        <f t="array" ref="K8">_xlfn.XLOOKUP(C8,'117 Battles '!$B$4:$B$120,'117 Battles '!$K$4:$K$120,"-")</f>
        <v>BJP</v>
      </c>
      <c r="L8" s="17">
        <f t="array" ref="L8">_xlfn.Xlookup(C8,'Assembly Competitiveness'!$B$4:$B$120,'Assembly Competitiveness'!$O$4:$O$120,"-")</f>
        <v>61.088</v>
      </c>
      <c r="M8" s="17">
        <f t="array" ref="M8">_xlfn.XLOOKUP(C8,'Assembly Volatality'!$B$4:$B$120,'Assembly Volatality'!$L$4:$L$120,"-")</f>
        <v>61.5</v>
      </c>
      <c r="N8" s="19" t="str">
        <f t="array" ref="N8">_xlfn.XLOOKUP(C8,'117 Battles '!$B$4:$B$120,'117 Battles '!$F$4:$F$120,"-")</f>
        <v>Highly Volatile</v>
      </c>
      <c r="O8" s="19" t="str">
        <f t="array" ref="O8">_xlfn.XLOOKUP(C8,'117 Battles '!$B$4:$B$120,'117 Battles '!$R$4:$R$120,"-")</f>
        <v>INC</v>
      </c>
      <c r="P8" s="7"/>
      <c r="Q8" s="19" t="s">
        <v>233</v>
      </c>
      <c r="R8" s="19" t="s">
        <v>234</v>
      </c>
      <c r="S8" s="6">
        <f t="shared" si="1"/>
        <v>61.3</v>
      </c>
    </row>
    <row r="9">
      <c r="A9" s="17">
        <v>7.0</v>
      </c>
      <c r="B9" s="17">
        <v>31.0</v>
      </c>
      <c r="C9" s="19" t="s">
        <v>235</v>
      </c>
      <c r="D9" s="19" t="s">
        <v>127</v>
      </c>
      <c r="E9" s="19" t="str">
        <f t="array" ref="E9">_xlfn.XLOOKUP(C9,'117 Battles '!$B$4:$B$120,'117 Battles '!$E$4:$E$120,"-")</f>
        <v>Inderjit Kaur Mann</v>
      </c>
      <c r="F9" s="22" t="str">
        <f t="array" ref="F9">_xlfn.XLOOKUP(C9,'117 Battles '!$B$4:$B$120,'117 Battles '!$G$4:$G$120,"-")</f>
        <v>AAP</v>
      </c>
      <c r="G9" s="22" t="str">
        <f t="array" ref="G9">_xlfn.XLOOKUP(C9,'117 Battles '!$B$4:$B$120,'117 Battles '!$H$4:$H$120,"-")</f>
        <v>SAD</v>
      </c>
      <c r="H9" s="19" t="str">
        <f t="array" ref="H9">_xlfn.XLOOKUP(C9,'117 Battles '!$B$4:$B$120,'117 Battles '!$I$4:$I$120,"-")</f>
        <v>AAP</v>
      </c>
      <c r="I9" s="19" t="str">
        <f t="array" ref="I9">_xlfn.XLOOKUP(C9,'117 Battles '!$B$4:$B$120,'117 Battles '!$M$4:$M$120,"-")</f>
        <v>SAD</v>
      </c>
      <c r="J9" s="17">
        <f t="array" ref="J9">_xlfn.XLOOKUP(C9,'2022 Assembly'!$B$4:$B$120,'2022 Assembly'!$O$4:$O$120,"-")</f>
        <v>2.16</v>
      </c>
      <c r="K9" s="19" t="str">
        <f t="array" ref="K9">_xlfn.XLOOKUP(C9,'117 Battles '!$B$4:$B$120,'117 Battles '!$K$4:$K$120,"-")</f>
        <v>INC</v>
      </c>
      <c r="L9" s="17">
        <f t="array" ref="L9">_xlfn.Xlookup(C9,'Assembly Competitiveness'!$B$4:$B$120,'Assembly Competitiveness'!$O$4:$O$120,"-")</f>
        <v>61.512</v>
      </c>
      <c r="M9" s="17">
        <f t="array" ref="M9">_xlfn.XLOOKUP(C9,'Assembly Volatality'!$B$4:$B$120,'Assembly Volatality'!$L$4:$L$120,"-")</f>
        <v>58.83</v>
      </c>
      <c r="N9" s="19" t="str">
        <f t="array" ref="N9">_xlfn.XLOOKUP(C9,'117 Battles '!$B$4:$B$120,'117 Battles '!$F$4:$F$120,"-")</f>
        <v>Battleground</v>
      </c>
      <c r="O9" s="19" t="str">
        <f t="array" ref="O9">_xlfn.XLOOKUP(C9,'117 Battles '!$B$4:$B$120,'117 Battles '!$R$4:$R$120,"-")</f>
        <v>SAD</v>
      </c>
      <c r="P9" s="7"/>
      <c r="Q9" s="19" t="s">
        <v>246</v>
      </c>
      <c r="R9" s="19" t="s">
        <v>214</v>
      </c>
      <c r="S9" s="6">
        <f t="shared" si="1"/>
        <v>60.4</v>
      </c>
    </row>
    <row r="10">
      <c r="A10" s="17">
        <v>8.0</v>
      </c>
      <c r="B10" s="17">
        <v>44.0</v>
      </c>
      <c r="C10" s="19" t="s">
        <v>247</v>
      </c>
      <c r="D10" s="19" t="s">
        <v>127</v>
      </c>
      <c r="E10" s="19" t="str">
        <f t="array" ref="E10">_xlfn.XLOOKUP(C10,'117 Battles '!$B$4:$B$120,'117 Battles '!$E$4:$E$120,"-")</f>
        <v>Ishank Kumar Chabbewal</v>
      </c>
      <c r="F10" s="22" t="str">
        <f t="array" ref="F10">_xlfn.XLOOKUP(C10,'117 Battles '!$B$4:$B$120,'117 Battles '!$G$4:$G$120,"-")</f>
        <v>AAP</v>
      </c>
      <c r="G10" s="22" t="str">
        <f t="array" ref="G10">_xlfn.XLOOKUP(C10,'117 Battles '!$B$4:$B$120,'117 Battles '!$H$4:$H$120,"-")</f>
        <v>INC</v>
      </c>
      <c r="H10" s="19" t="str">
        <f t="array" ref="H10">_xlfn.XLOOKUP(C10,'117 Battles '!$B$4:$B$120,'117 Battles '!$I$4:$I$120,"-")</f>
        <v>INC</v>
      </c>
      <c r="I10" s="19" t="str">
        <f t="array" ref="I10">_xlfn.XLOOKUP(C10,'117 Battles '!$B$4:$B$120,'117 Battles '!$M$4:$M$120,"-")</f>
        <v>AAP</v>
      </c>
      <c r="J10" s="17">
        <f t="array" ref="J10">_xlfn.XLOOKUP(C10,'2022 Assembly'!$B$4:$B$120,'2022 Assembly'!$O$4:$O$120,"-")</f>
        <v>6.68</v>
      </c>
      <c r="K10" s="19" t="str">
        <f t="array" ref="K10">_xlfn.XLOOKUP(C10,'117 Battles '!$B$4:$B$120,'117 Battles '!$K$4:$K$120,"-")</f>
        <v>AAP</v>
      </c>
      <c r="L10" s="17">
        <f t="array" ref="L10">_xlfn.Xlookup(C10,'Assembly Competitiveness'!$B$4:$B$120,'Assembly Competitiveness'!$O$4:$O$120,"-")</f>
        <v>62.478</v>
      </c>
      <c r="M10" s="17">
        <f t="array" ref="M10">_xlfn.XLOOKUP(C10,'Assembly Volatality'!$B$4:$B$120,'Assembly Volatality'!$L$4:$L$120,"-")</f>
        <v>56.19</v>
      </c>
      <c r="N10" s="19" t="str">
        <f t="array" ref="N10">_xlfn.XLOOKUP(C10,'117 Battles '!$B$4:$B$120,'117 Battles '!$F$4:$F$120,"-")</f>
        <v>Battleground</v>
      </c>
      <c r="O10" s="19" t="str">
        <f t="array" ref="O10">_xlfn.XLOOKUP(C10,'117 Battles '!$B$4:$B$120,'117 Battles '!$R$4:$R$120,"-")</f>
        <v>INC</v>
      </c>
      <c r="P10" s="22" t="s">
        <v>210</v>
      </c>
      <c r="Q10" s="19" t="s">
        <v>213</v>
      </c>
      <c r="R10" s="19" t="s">
        <v>214</v>
      </c>
      <c r="S10" s="6">
        <f t="shared" si="1"/>
        <v>60</v>
      </c>
    </row>
    <row r="11">
      <c r="A11" s="17">
        <v>9.0</v>
      </c>
      <c r="B11" s="17">
        <v>29.0</v>
      </c>
      <c r="C11" s="19" t="s">
        <v>248</v>
      </c>
      <c r="D11" s="19" t="s">
        <v>127</v>
      </c>
      <c r="E11" s="19" t="str">
        <f t="array" ref="E11">_xlfn.XLOOKUP(C11,'117 Battles '!$B$4:$B$120,'117 Battles '!$E$4:$E$120,"-")</f>
        <v>Balwinder Singh Dhaliwal</v>
      </c>
      <c r="F11" s="22" t="str">
        <f t="array" ref="F11">_xlfn.XLOOKUP(C11,'117 Battles '!$B$4:$B$120,'117 Battles '!$G$4:$G$120,"-")</f>
        <v>INC</v>
      </c>
      <c r="G11" s="22" t="str">
        <f t="array" ref="G11">_xlfn.XLOOKUP(C11,'117 Battles '!$B$4:$B$120,'117 Battles '!$H$4:$H$120,"-")</f>
        <v>BJP</v>
      </c>
      <c r="H11" s="19" t="str">
        <f t="array" ref="H11">_xlfn.XLOOKUP(C11,'117 Battles '!$B$4:$B$120,'117 Battles '!$I$4:$I$120,"-")</f>
        <v>INC</v>
      </c>
      <c r="I11" s="19" t="str">
        <f t="array" ref="I11">_xlfn.XLOOKUP(C11,'117 Battles '!$B$4:$B$120,'117 Battles '!$M$4:$M$120,"-")</f>
        <v>AAP</v>
      </c>
      <c r="J11" s="17">
        <f t="array" ref="J11">_xlfn.XLOOKUP(C11,'2022 Assembly'!$B$4:$B$120,'2022 Assembly'!$O$4:$O$120,"-")</f>
        <v>2.14</v>
      </c>
      <c r="K11" s="19" t="str">
        <f t="array" ref="K11">_xlfn.XLOOKUP(C11,'117 Battles '!$B$4:$B$120,'117 Battles '!$K$4:$K$120,"-")</f>
        <v>AAP</v>
      </c>
      <c r="L11" s="17">
        <f t="array" ref="L11">_xlfn.Xlookup(C11,'Assembly Competitiveness'!$B$4:$B$120,'Assembly Competitiveness'!$O$4:$O$120,"-")</f>
        <v>68.857</v>
      </c>
      <c r="M11" s="17">
        <f t="array" ref="M11">_xlfn.XLOOKUP(C11,'Assembly Volatality'!$B$4:$B$120,'Assembly Volatality'!$L$4:$L$120,"-")</f>
        <v>46.49</v>
      </c>
      <c r="N11" s="19" t="str">
        <f t="array" ref="N11">_xlfn.XLOOKUP(C11,'117 Battles '!$B$4:$B$120,'117 Battles '!$F$4:$F$120,"-")</f>
        <v>Battleground</v>
      </c>
      <c r="O11" s="19" t="str">
        <f t="array" ref="O11">_xlfn.XLOOKUP(C11,'117 Battles '!$B$4:$B$120,'117 Battles '!$R$4:$R$120,"-")</f>
        <v>AAP</v>
      </c>
      <c r="P11" s="7"/>
      <c r="Q11" s="19" t="s">
        <v>251</v>
      </c>
      <c r="R11" s="19" t="s">
        <v>219</v>
      </c>
      <c r="S11" s="6">
        <f t="shared" si="1"/>
        <v>59.9</v>
      </c>
    </row>
    <row r="12">
      <c r="A12" s="17">
        <v>10.0</v>
      </c>
      <c r="B12" s="17">
        <v>10.0</v>
      </c>
      <c r="C12" s="19" t="s">
        <v>252</v>
      </c>
      <c r="D12" s="19" t="s">
        <v>61</v>
      </c>
      <c r="E12" s="19" t="str">
        <f t="array" ref="E12">_xlfn.XLOOKUP(C12,'117 Battles '!$B$4:$B$120,'117 Battles '!$E$4:$E$120,"-")</f>
        <v>Gurdeep Singh Randhawa</v>
      </c>
      <c r="F12" s="22" t="str">
        <f t="array" ref="F12">_xlfn.XLOOKUP(C12,'117 Battles '!$B$4:$B$120,'117 Battles '!$G$4:$G$120,"-")</f>
        <v>AAP</v>
      </c>
      <c r="G12" s="22" t="str">
        <f t="array" ref="G12">_xlfn.XLOOKUP(C12,'117 Battles '!$B$4:$B$120,'117 Battles '!$H$4:$H$120,"-")</f>
        <v>INC</v>
      </c>
      <c r="H12" s="19" t="str">
        <f t="array" ref="H12">_xlfn.XLOOKUP(C12,'117 Battles '!$B$4:$B$120,'117 Battles '!$I$4:$I$120,"-")</f>
        <v>INC</v>
      </c>
      <c r="I12" s="19" t="str">
        <f t="array" ref="I12">_xlfn.XLOOKUP(C12,'117 Battles '!$B$4:$B$120,'117 Battles '!$M$4:$M$120,"-")</f>
        <v>SAD</v>
      </c>
      <c r="J12" s="17">
        <f t="array" ref="J12">_xlfn.XLOOKUP(C12,'2022 Assembly'!$B$4:$B$120,'2022 Assembly'!$O$4:$O$120,"-")</f>
        <v>0.33</v>
      </c>
      <c r="K12" s="19" t="str">
        <f t="array" ref="K12">_xlfn.XLOOKUP(C12,'117 Battles '!$B$4:$B$120,'117 Battles '!$K$4:$K$120,"-")</f>
        <v>INC</v>
      </c>
      <c r="L12" s="17">
        <f t="array" ref="L12">_xlfn.Xlookup(C12,'Assembly Competitiveness'!$B$4:$B$120,'Assembly Competitiveness'!$O$4:$O$120,"-")</f>
        <v>78.6155</v>
      </c>
      <c r="M12" s="17">
        <f t="array" ref="M12">_xlfn.XLOOKUP(C12,'Assembly Volatality'!$B$4:$B$120,'Assembly Volatality'!$L$4:$L$120,"-")</f>
        <v>28.76</v>
      </c>
      <c r="N12" s="19" t="str">
        <f t="array" ref="N12">_xlfn.XLOOKUP(C12,'117 Battles '!$B$4:$B$120,'117 Battles '!$F$4:$F$120,"-")</f>
        <v>Battleground</v>
      </c>
      <c r="O12" s="19" t="str">
        <f t="array" ref="O12">_xlfn.XLOOKUP(C12,'117 Battles '!$B$4:$B$120,'117 Battles '!$R$4:$R$120,"-")</f>
        <v>INC</v>
      </c>
      <c r="P12" s="22" t="s">
        <v>210</v>
      </c>
      <c r="Q12" s="19" t="s">
        <v>255</v>
      </c>
      <c r="R12" s="19" t="s">
        <v>257</v>
      </c>
      <c r="S12" s="6">
        <f t="shared" si="1"/>
        <v>58.7</v>
      </c>
    </row>
    <row r="13">
      <c r="A13" s="17">
        <v>11.0</v>
      </c>
      <c r="B13" s="17">
        <v>47.0</v>
      </c>
      <c r="C13" s="19" t="s">
        <v>259</v>
      </c>
      <c r="D13" s="19" t="s">
        <v>127</v>
      </c>
      <c r="E13" s="19" t="str">
        <f t="array" ref="E13">_xlfn.XLOOKUP(C13,'117 Battles '!$B$4:$B$120,'117 Battles '!$E$4:$E$120,"-")</f>
        <v>Dr. Nachhatar Pal</v>
      </c>
      <c r="F13" s="22" t="str">
        <f t="array" ref="F13">_xlfn.XLOOKUP(C13,'117 Battles '!$B$4:$B$120,'117 Battles '!$G$4:$G$120,"-")</f>
        <v>BSP</v>
      </c>
      <c r="G13" s="22" t="str">
        <f t="array" ref="G13">_xlfn.XLOOKUP(C13,'117 Battles '!$B$4:$B$120,'117 Battles '!$H$4:$H$120,"-")</f>
        <v>INC</v>
      </c>
      <c r="H13" s="19" t="str">
        <f t="array" ref="H13">_xlfn.XLOOKUP(C13,'117 Battles '!$B$4:$B$120,'117 Battles '!$I$4:$I$120,"-")</f>
        <v>BSP</v>
      </c>
      <c r="I13" s="19" t="str">
        <f t="array" ref="I13">_xlfn.XLOOKUP(C13,'117 Battles '!$B$4:$B$120,'117 Battles '!$M$4:$M$120,"-")</f>
        <v>AAP</v>
      </c>
      <c r="J13" s="17">
        <f t="array" ref="J13">_xlfn.XLOOKUP(C13,'2022 Assembly'!$B$4:$B$120,'2022 Assembly'!$O$4:$O$120,"-")</f>
        <v>4.36</v>
      </c>
      <c r="K13" s="19" t="str">
        <f t="array" ref="K13">_xlfn.XLOOKUP(C13,'117 Battles '!$B$4:$B$120,'117 Battles '!$K$4:$K$120,"-")</f>
        <v>AAP</v>
      </c>
      <c r="L13" s="17">
        <f t="array" ref="L13">_xlfn.Xlookup(C13,'Assembly Competitiveness'!$B$4:$B$120,'Assembly Competitiveness'!$O$4:$O$120,"-")</f>
        <v>63.294</v>
      </c>
      <c r="M13" s="17">
        <f t="array" ref="M13">_xlfn.XLOOKUP(C13,'Assembly Volatality'!$B$4:$B$120,'Assembly Volatality'!$L$4:$L$120,"-")</f>
        <v>47.92</v>
      </c>
      <c r="N13" s="19" t="str">
        <f t="array" ref="N13">_xlfn.XLOOKUP(C13,'117 Battles '!$B$4:$B$120,'117 Battles '!$F$4:$F$120,"-")</f>
        <v>Battleground</v>
      </c>
      <c r="O13" s="19" t="str">
        <f t="array" ref="O13">_xlfn.XLOOKUP(C13,'117 Battles '!$B$4:$B$120,'117 Battles '!$R$4:$R$120,"-")</f>
        <v>AAP</v>
      </c>
      <c r="P13" s="7"/>
      <c r="Q13" s="19" t="s">
        <v>246</v>
      </c>
      <c r="R13" s="19" t="s">
        <v>214</v>
      </c>
      <c r="S13" s="6">
        <f t="shared" si="1"/>
        <v>57.1</v>
      </c>
    </row>
    <row r="14">
      <c r="A14" s="17">
        <v>12.0</v>
      </c>
      <c r="B14" s="17">
        <v>18.0</v>
      </c>
      <c r="C14" s="19" t="s">
        <v>262</v>
      </c>
      <c r="D14" s="19" t="s">
        <v>61</v>
      </c>
      <c r="E14" s="19" t="str">
        <f t="array" ref="E14">_xlfn.XLOOKUP(C14,'117 Battles '!$B$4:$B$120,'117 Battles '!$E$4:$E$120,"-")</f>
        <v>Jeevan Jyot Kaur</v>
      </c>
      <c r="F14" s="22" t="str">
        <f t="array" ref="F14">_xlfn.XLOOKUP(C14,'117 Battles '!$B$4:$B$120,'117 Battles '!$G$4:$G$120,"-")</f>
        <v>AAP</v>
      </c>
      <c r="G14" s="22" t="str">
        <f t="array" ref="G14">_xlfn.XLOOKUP(C14,'117 Battles '!$B$4:$B$120,'117 Battles '!$H$4:$H$120,"-")</f>
        <v>INC</v>
      </c>
      <c r="H14" s="19" t="str">
        <f t="array" ref="H14">_xlfn.XLOOKUP(C14,'117 Battles '!$B$4:$B$120,'117 Battles '!$I$4:$I$120,"-")</f>
        <v>AAP</v>
      </c>
      <c r="I14" s="19" t="str">
        <f t="array" ref="I14">_xlfn.XLOOKUP(C14,'117 Battles '!$B$4:$B$120,'117 Battles '!$M$4:$M$120,"-")</f>
        <v>INC</v>
      </c>
      <c r="J14" s="17">
        <f t="array" ref="J14">_xlfn.XLOOKUP(C14,'2022 Assembly'!$B$4:$B$120,'2022 Assembly'!$O$4:$O$120,"-")</f>
        <v>6.29</v>
      </c>
      <c r="K14" s="19" t="str">
        <f t="array" ref="K14">_xlfn.XLOOKUP(C14,'117 Battles '!$B$4:$B$120,'117 Battles '!$K$4:$K$120,"-")</f>
        <v>BJP</v>
      </c>
      <c r="L14" s="17">
        <f t="array" ref="L14">_xlfn.Xlookup(C14,'Assembly Competitiveness'!$B$4:$B$120,'Assembly Competitiveness'!$O$4:$O$120,"-")</f>
        <v>50.8475</v>
      </c>
      <c r="M14" s="17">
        <f t="array" ref="M14">_xlfn.XLOOKUP(C14,'Assembly Volatality'!$B$4:$B$120,'Assembly Volatality'!$L$4:$L$120,"-")</f>
        <v>65.35</v>
      </c>
      <c r="N14" s="19" t="str">
        <f t="array" ref="N14">_xlfn.XLOOKUP(C14,'117 Battles '!$B$4:$B$120,'117 Battles '!$F$4:$F$120,"-")</f>
        <v>Opposition Lean</v>
      </c>
      <c r="O14" s="19" t="str">
        <f t="array" ref="O14">_xlfn.XLOOKUP(C14,'117 Battles '!$B$4:$B$120,'117 Battles '!$R$4:$R$120,"-")</f>
        <v>INC</v>
      </c>
      <c r="P14" s="7"/>
      <c r="Q14" s="19" t="s">
        <v>265</v>
      </c>
      <c r="R14" s="19" t="s">
        <v>266</v>
      </c>
      <c r="S14" s="6">
        <f t="shared" si="1"/>
        <v>56.6</v>
      </c>
    </row>
    <row r="15">
      <c r="A15" s="17">
        <v>13.0</v>
      </c>
      <c r="B15" s="17">
        <v>33.0</v>
      </c>
      <c r="C15" s="19" t="s">
        <v>267</v>
      </c>
      <c r="D15" s="19" t="s">
        <v>127</v>
      </c>
      <c r="E15" s="19" t="str">
        <f t="array" ref="E15">_xlfn.XLOOKUP(C15,'117 Battles '!$B$4:$B$120,'117 Battles '!$E$4:$E$120,"-")</f>
        <v>Balkar Singh</v>
      </c>
      <c r="F15" s="22" t="str">
        <f t="array" ref="F15">_xlfn.XLOOKUP(C15,'117 Battles '!$B$4:$B$120,'117 Battles '!$G$4:$G$120,"-")</f>
        <v>AAP</v>
      </c>
      <c r="G15" s="22" t="str">
        <f t="array" ref="G15">_xlfn.XLOOKUP(C15,'117 Battles '!$B$4:$B$120,'117 Battles '!$H$4:$H$120,"-")</f>
        <v>INC</v>
      </c>
      <c r="H15" s="19" t="str">
        <f t="array" ref="H15">_xlfn.XLOOKUP(C15,'117 Battles '!$B$4:$B$120,'117 Battles '!$I$4:$I$120,"-")</f>
        <v>AAP</v>
      </c>
      <c r="I15" s="19" t="str">
        <f t="array" ref="I15">_xlfn.XLOOKUP(C15,'117 Battles '!$B$4:$B$120,'117 Battles '!$M$4:$M$120,"-")</f>
        <v>INC</v>
      </c>
      <c r="J15" s="17">
        <f t="array" ref="J15">_xlfn.XLOOKUP(C15,'2022 Assembly'!$B$4:$B$120,'2022 Assembly'!$O$4:$O$120,"-")</f>
        <v>3.69</v>
      </c>
      <c r="K15" s="19" t="str">
        <f t="array" ref="K15">_xlfn.XLOOKUP(C15,'117 Battles '!$B$4:$B$120,'117 Battles '!$K$4:$K$120,"-")</f>
        <v>INC</v>
      </c>
      <c r="L15" s="17">
        <f t="array" ref="L15">_xlfn.Xlookup(C15,'Assembly Competitiveness'!$B$4:$B$120,'Assembly Competitiveness'!$O$4:$O$120,"-")</f>
        <v>62.3355</v>
      </c>
      <c r="M15" s="17">
        <f t="array" ref="M15">_xlfn.XLOOKUP(C15,'Assembly Volatality'!$B$4:$B$120,'Assembly Volatality'!$L$4:$L$120,"-")</f>
        <v>46.79</v>
      </c>
      <c r="N15" s="19" t="str">
        <f t="array" ref="N15">_xlfn.XLOOKUP(C15,'117 Battles '!$B$4:$B$120,'117 Battles '!$F$4:$F$120,"-")</f>
        <v>Battleground</v>
      </c>
      <c r="O15" s="19" t="str">
        <f t="array" ref="O15">_xlfn.XLOOKUP(C15,'117 Battles '!$B$4:$B$120,'117 Battles '!$R$4:$R$120,"-")</f>
        <v>INC</v>
      </c>
      <c r="P15" s="7"/>
      <c r="Q15" s="19" t="s">
        <v>213</v>
      </c>
      <c r="R15" s="19" t="s">
        <v>214</v>
      </c>
      <c r="S15" s="6">
        <f t="shared" si="1"/>
        <v>56.1</v>
      </c>
    </row>
    <row r="16">
      <c r="A16" s="17">
        <v>14.0</v>
      </c>
      <c r="B16" s="17">
        <v>81.0</v>
      </c>
      <c r="C16" s="19" t="s">
        <v>270</v>
      </c>
      <c r="D16" s="19" t="s">
        <v>35</v>
      </c>
      <c r="E16" s="19" t="str">
        <f t="array" ref="E16">_xlfn.XLOOKUP(C16,'117 Battles '!$B$4:$B$120,'117 Battles '!$E$4:$E$120,"-")</f>
        <v>Sandeep Jakhar</v>
      </c>
      <c r="F16" s="22" t="str">
        <f t="array" ref="F16">_xlfn.XLOOKUP(C16,'117 Battles '!$B$4:$B$120,'117 Battles '!$G$4:$G$120,"-")</f>
        <v>INC</v>
      </c>
      <c r="G16" s="22" t="str">
        <f t="array" ref="G16">_xlfn.XLOOKUP(C16,'117 Battles '!$B$4:$B$120,'117 Battles '!$H$4:$H$120,"-")</f>
        <v>BJP</v>
      </c>
      <c r="H16" s="19" t="str">
        <f t="array" ref="H16">_xlfn.XLOOKUP(C16,'117 Battles '!$B$4:$B$120,'117 Battles '!$I$4:$I$120,"-")</f>
        <v>INC</v>
      </c>
      <c r="I16" s="19" t="str">
        <f t="array" ref="I16">_xlfn.XLOOKUP(C16,'117 Battles '!$B$4:$B$120,'117 Battles '!$M$4:$M$120,"-")</f>
        <v>AAP</v>
      </c>
      <c r="J16" s="17">
        <f t="array" ref="J16">_xlfn.XLOOKUP(C16,'2022 Assembly'!$B$4:$B$120,'2022 Assembly'!$O$4:$O$120,"-")</f>
        <v>4.13</v>
      </c>
      <c r="K16" s="19" t="str">
        <f t="array" ref="K16">_xlfn.XLOOKUP(C16,'117 Battles '!$B$4:$B$120,'117 Battles '!$K$4:$K$120,"-")</f>
        <v>BJP</v>
      </c>
      <c r="L16" s="17">
        <f t="array" ref="L16">_xlfn.Xlookup(C16,'Assembly Competitiveness'!$B$4:$B$120,'Assembly Competitiveness'!$O$4:$O$120,"-")</f>
        <v>63.6495</v>
      </c>
      <c r="M16" s="17">
        <f t="array" ref="M16">_xlfn.XLOOKUP(C16,'Assembly Volatality'!$B$4:$B$120,'Assembly Volatality'!$L$4:$L$120,"-")</f>
        <v>44.62</v>
      </c>
      <c r="N16" s="19" t="str">
        <f t="array" ref="N16">_xlfn.XLOOKUP(C16,'117 Battles '!$B$4:$B$120,'117 Battles '!$F$4:$F$120,"-")</f>
        <v>Highly Volatile</v>
      </c>
      <c r="O16" s="19" t="str">
        <f t="array" ref="O16">_xlfn.XLOOKUP(C16,'117 Battles '!$B$4:$B$120,'117 Battles '!$R$4:$R$120,"-")</f>
        <v>AAP</v>
      </c>
      <c r="P16" s="7"/>
      <c r="Q16" s="19" t="s">
        <v>222</v>
      </c>
      <c r="R16" s="19" t="s">
        <v>266</v>
      </c>
      <c r="S16" s="6">
        <f t="shared" si="1"/>
        <v>56</v>
      </c>
    </row>
    <row r="17">
      <c r="A17" s="17">
        <v>15.0</v>
      </c>
      <c r="B17" s="17">
        <v>34.0</v>
      </c>
      <c r="C17" s="19" t="s">
        <v>274</v>
      </c>
      <c r="D17" s="19" t="s">
        <v>127</v>
      </c>
      <c r="E17" s="19" t="str">
        <f t="array" ref="E17">_xlfn.XLOOKUP(C17,'117 Battles '!$B$4:$B$120,'117 Battles '!$E$4:$E$120,"-")</f>
        <v>Sheetal Angural</v>
      </c>
      <c r="F17" s="22" t="str">
        <f t="array" ref="F17">_xlfn.XLOOKUP(C17,'117 Battles '!$B$4:$B$120,'117 Battles '!$G$4:$G$120,"-")</f>
        <v>AAP</v>
      </c>
      <c r="G17" s="22" t="str">
        <f t="array" ref="G17">_xlfn.XLOOKUP(C17,'117 Battles '!$B$4:$B$120,'117 Battles '!$H$4:$H$120,"-")</f>
        <v>INC</v>
      </c>
      <c r="H17" s="19" t="str">
        <f t="array" ref="H17">_xlfn.XLOOKUP(C17,'117 Battles '!$B$4:$B$120,'117 Battles '!$I$4:$I$120,"-")</f>
        <v>AAP</v>
      </c>
      <c r="I17" s="19" t="str">
        <f t="array" ref="I17">_xlfn.XLOOKUP(C17,'117 Battles '!$B$4:$B$120,'117 Battles '!$M$4:$M$120,"-")</f>
        <v>INC</v>
      </c>
      <c r="J17" s="17">
        <f t="array" ref="J17">_xlfn.XLOOKUP(C17,'2022 Assembly'!$B$4:$B$120,'2022 Assembly'!$O$4:$O$120,"-")</f>
        <v>3.69</v>
      </c>
      <c r="K17" s="19" t="str">
        <f t="array" ref="K17">_xlfn.XLOOKUP(C17,'117 Battles '!$B$4:$B$120,'117 Battles '!$K$4:$K$120,"-")</f>
        <v>INC</v>
      </c>
      <c r="L17" s="17">
        <f t="array" ref="L17">_xlfn.Xlookup(C17,'Assembly Competitiveness'!$B$4:$B$120,'Assembly Competitiveness'!$O$4:$O$120,"-")</f>
        <v>55.7175</v>
      </c>
      <c r="M17" s="17">
        <f t="array" ref="M17">_xlfn.XLOOKUP(C17,'Assembly Volatality'!$B$4:$B$120,'Assembly Volatality'!$L$4:$L$120,"-")</f>
        <v>56.49</v>
      </c>
      <c r="N17" s="19" t="str">
        <f t="array" ref="N17">_xlfn.XLOOKUP(C17,'117 Battles '!$B$4:$B$120,'117 Battles '!$F$4:$F$120,"-")</f>
        <v>Opposition Lean</v>
      </c>
      <c r="O17" s="19" t="str">
        <f t="array" ref="O17">_xlfn.XLOOKUP(C17,'117 Battles '!$B$4:$B$120,'117 Battles '!$R$4:$R$120,"-")</f>
        <v>INC</v>
      </c>
      <c r="P17" s="7"/>
      <c r="Q17" s="19" t="s">
        <v>251</v>
      </c>
      <c r="R17" s="19" t="s">
        <v>219</v>
      </c>
      <c r="S17" s="6">
        <f t="shared" si="1"/>
        <v>56</v>
      </c>
    </row>
    <row r="18">
      <c r="A18" s="17">
        <v>16.0</v>
      </c>
      <c r="B18" s="17">
        <v>41.0</v>
      </c>
      <c r="C18" s="19" t="s">
        <v>275</v>
      </c>
      <c r="D18" s="19" t="s">
        <v>127</v>
      </c>
      <c r="E18" s="19" t="str">
        <f t="array" ref="E18">_xlfn.XLOOKUP(C18,'117 Battles '!$B$4:$B$120,'117 Battles '!$E$4:$E$120,"-")</f>
        <v>Jasvir Singh Raja Gill</v>
      </c>
      <c r="F18" s="22" t="str">
        <f t="array" ref="F18">_xlfn.XLOOKUP(C18,'117 Battles '!$B$4:$B$120,'117 Battles '!$G$4:$G$120,"-")</f>
        <v>AAP</v>
      </c>
      <c r="G18" s="22" t="str">
        <f t="array" ref="G18">_xlfn.XLOOKUP(C18,'117 Battles '!$B$4:$B$120,'117 Battles '!$H$4:$H$120,"-")</f>
        <v>INC</v>
      </c>
      <c r="H18" s="19" t="str">
        <f t="array" ref="H18">_xlfn.XLOOKUP(C18,'117 Battles '!$B$4:$B$120,'117 Battles '!$I$4:$I$120,"-")</f>
        <v>AAP</v>
      </c>
      <c r="I18" s="19" t="str">
        <f t="array" ref="I18">_xlfn.XLOOKUP(C18,'117 Battles '!$B$4:$B$120,'117 Battles '!$M$4:$M$120,"-")</f>
        <v>INC</v>
      </c>
      <c r="J18" s="17">
        <f t="array" ref="J18">_xlfn.XLOOKUP(C18,'2022 Assembly'!$B$4:$B$120,'2022 Assembly'!$O$4:$O$120,"-")</f>
        <v>3.37</v>
      </c>
      <c r="K18" s="19" t="str">
        <f t="array" ref="K18">_xlfn.XLOOKUP(C18,'117 Battles '!$B$4:$B$120,'117 Battles '!$K$4:$K$120,"-")</f>
        <v>INC</v>
      </c>
      <c r="L18" s="17">
        <f t="array" ref="L18">_xlfn.Xlookup(C18,'Assembly Competitiveness'!$B$4:$B$120,'Assembly Competitiveness'!$O$4:$O$120,"-")</f>
        <v>58.9055</v>
      </c>
      <c r="M18" s="17">
        <f t="array" ref="M18">_xlfn.XLOOKUP(C18,'Assembly Volatality'!$B$4:$B$120,'Assembly Volatality'!$L$4:$L$120,"-")</f>
        <v>51.22</v>
      </c>
      <c r="N18" s="19" t="str">
        <f t="array" ref="N18">_xlfn.XLOOKUP(C18,'117 Battles '!$B$4:$B$120,'117 Battles '!$F$4:$F$120,"-")</f>
        <v>Opposition Lean</v>
      </c>
      <c r="O18" s="19" t="str">
        <f t="array" ref="O18">_xlfn.XLOOKUP(C18,'117 Battles '!$B$4:$B$120,'117 Battles '!$R$4:$R$120,"-")</f>
        <v>INC</v>
      </c>
      <c r="P18" s="7"/>
      <c r="Q18" s="19" t="s">
        <v>246</v>
      </c>
      <c r="R18" s="19" t="s">
        <v>214</v>
      </c>
      <c r="S18" s="6">
        <f t="shared" si="1"/>
        <v>55.8</v>
      </c>
    </row>
    <row r="19">
      <c r="A19" s="17">
        <v>17.0</v>
      </c>
      <c r="B19" s="17">
        <v>48.0</v>
      </c>
      <c r="C19" s="19" t="s">
        <v>278</v>
      </c>
      <c r="D19" s="19" t="s">
        <v>127</v>
      </c>
      <c r="E19" s="19" t="str">
        <f t="array" ref="E19">_xlfn.XLOOKUP(C19,'117 Battles '!$B$4:$B$120,'117 Battles '!$E$4:$E$120,"-")</f>
        <v>Santosh Kumari Katariaa</v>
      </c>
      <c r="F19" s="22" t="str">
        <f t="array" ref="F19">_xlfn.XLOOKUP(C19,'117 Battles '!$B$4:$B$120,'117 Battles '!$G$4:$G$120,"-")</f>
        <v>AAP</v>
      </c>
      <c r="G19" s="22" t="str">
        <f t="array" ref="G19">_xlfn.XLOOKUP(C19,'117 Battles '!$B$4:$B$120,'117 Battles '!$H$4:$H$120,"-")</f>
        <v>INC</v>
      </c>
      <c r="H19" s="19" t="str">
        <f t="array" ref="H19">_xlfn.XLOOKUP(C19,'117 Battles '!$B$4:$B$120,'117 Battles '!$I$4:$I$120,"-")</f>
        <v>AAP</v>
      </c>
      <c r="I19" s="19" t="str">
        <f t="array" ref="I19">_xlfn.XLOOKUP(C19,'117 Battles '!$B$4:$B$120,'117 Battles '!$M$4:$M$120,"-")</f>
        <v>SAD</v>
      </c>
      <c r="J19" s="17">
        <f t="array" ref="J19">_xlfn.XLOOKUP(C19,'2022 Assembly'!$B$4:$B$120,'2022 Assembly'!$O$4:$O$120,"-")</f>
        <v>3.97</v>
      </c>
      <c r="K19" s="19" t="str">
        <f t="array" ref="K19">_xlfn.XLOOKUP(C19,'117 Battles '!$B$4:$B$120,'117 Battles '!$K$4:$K$120,"-")</f>
        <v>INC</v>
      </c>
      <c r="L19" s="17">
        <f t="array" ref="L19">_xlfn.Xlookup(C19,'Assembly Competitiveness'!$B$4:$B$120,'Assembly Competitiveness'!$O$4:$O$120,"-")</f>
        <v>54.3695</v>
      </c>
      <c r="M19" s="17">
        <f t="array" ref="M19">_xlfn.XLOOKUP(C19,'Assembly Volatality'!$B$4:$B$120,'Assembly Volatality'!$L$4:$L$120,"-")</f>
        <v>57.87</v>
      </c>
      <c r="N19" s="19" t="str">
        <f t="array" ref="N19">_xlfn.XLOOKUP(C19,'117 Battles '!$B$4:$B$120,'117 Battles '!$F$4:$F$120,"-")</f>
        <v>Highly Volatile</v>
      </c>
      <c r="O19" s="19" t="str">
        <f t="array" ref="O19">_xlfn.XLOOKUP(C19,'117 Battles '!$B$4:$B$120,'117 Battles '!$R$4:$R$120,"-")</f>
        <v>SAD</v>
      </c>
      <c r="Q19" s="48" t="s">
        <v>281</v>
      </c>
      <c r="R19" s="19" t="s">
        <v>214</v>
      </c>
    </row>
    <row r="20">
      <c r="A20" s="17">
        <v>18.0</v>
      </c>
      <c r="B20" s="17">
        <v>1.0</v>
      </c>
      <c r="C20" s="19" t="s">
        <v>59</v>
      </c>
      <c r="D20" s="19" t="s">
        <v>61</v>
      </c>
      <c r="E20" s="19" t="str">
        <f t="array" ref="E20">_xlfn.XLOOKUP(C20,'117 Battles '!$B$4:$B$120,'117 Battles '!$E$4:$E$120,"-")</f>
        <v>Naresh Puri</v>
      </c>
      <c r="F20" s="22" t="str">
        <f t="array" ref="F20">_xlfn.XLOOKUP(C20,'117 Battles '!$B$4:$B$120,'117 Battles '!$G$4:$G$120,"-")</f>
        <v>INC</v>
      </c>
      <c r="G20" s="22" t="str">
        <f t="array" ref="G20">_xlfn.XLOOKUP(C20,'117 Battles '!$B$4:$B$120,'117 Battles '!$H$4:$H$120,"-")</f>
        <v>BJP</v>
      </c>
      <c r="H20" s="19" t="str">
        <f t="array" ref="H20">_xlfn.XLOOKUP(C20,'117 Battles '!$B$4:$B$120,'117 Battles '!$I$4:$I$120,"-")</f>
        <v>INC</v>
      </c>
      <c r="I20" s="19" t="str">
        <f t="array" ref="I20">_xlfn.XLOOKUP(C20,'117 Battles '!$B$4:$B$120,'117 Battles '!$M$4:$M$120,"-")</f>
        <v>BJP</v>
      </c>
      <c r="J20" s="17">
        <f t="array" ref="J20">_xlfn.XLOOKUP(C20,'2022 Assembly'!$B$4:$B$120,'2022 Assembly'!$O$4:$O$120,"-")</f>
        <v>3.61</v>
      </c>
      <c r="K20" s="19" t="str">
        <f t="array" ref="K20">_xlfn.XLOOKUP(C20,'117 Battles '!$B$4:$B$120,'117 Battles '!$K$4:$K$120,"-")</f>
        <v>BJP</v>
      </c>
      <c r="L20" s="17">
        <f t="array" ref="L20">_xlfn.Xlookup(C20,'Assembly Competitiveness'!$B$4:$B$120,'Assembly Competitiveness'!$O$4:$O$120,"-")</f>
        <v>56.4095</v>
      </c>
      <c r="M20" s="17">
        <f t="array" ref="M20">_xlfn.XLOOKUP(C20,'Assembly Volatality'!$B$4:$B$120,'Assembly Volatality'!$L$4:$L$120,"-")</f>
        <v>53.7</v>
      </c>
      <c r="N20" s="19" t="str">
        <f t="array" ref="N20">_xlfn.XLOOKUP(C20,'117 Battles '!$B$4:$B$120,'117 Battles '!$F$4:$F$120,"-")</f>
        <v>Opposition Lean</v>
      </c>
      <c r="O20" s="19" t="str">
        <f t="array" ref="O20">_xlfn.XLOOKUP(C20,'117 Battles '!$B$4:$B$120,'117 Battles '!$R$4:$R$120,"-")</f>
        <v>BJP</v>
      </c>
      <c r="P20" s="7"/>
      <c r="Q20" s="19" t="s">
        <v>255</v>
      </c>
      <c r="R20" s="19" t="s">
        <v>257</v>
      </c>
      <c r="S20" s="6">
        <f t="shared" ref="S20:S22" si="2">ROUND((0.6 * L20) + (0.4 * M20), 1)</f>
        <v>55.3</v>
      </c>
    </row>
    <row r="21">
      <c r="A21" s="17">
        <v>19.0</v>
      </c>
      <c r="B21" s="17">
        <v>63.0</v>
      </c>
      <c r="C21" s="19" t="s">
        <v>303</v>
      </c>
      <c r="D21" s="19" t="s">
        <v>35</v>
      </c>
      <c r="E21" s="19" t="str">
        <f t="array" ref="E21">_xlfn.XLOOKUP(C21,'117 Battles '!$B$4:$B$120,'117 Battles '!$E$4:$E$120,"-")</f>
        <v>Ashok Parashar (Pappi)</v>
      </c>
      <c r="F21" s="22" t="str">
        <f t="array" ref="F21">_xlfn.XLOOKUP(C21,'117 Battles '!$B$4:$B$120,'117 Battles '!$G$4:$G$120,"-")</f>
        <v>AAP</v>
      </c>
      <c r="G21" s="22" t="str">
        <f t="array" ref="G21">_xlfn.XLOOKUP(C21,'117 Battles '!$B$4:$B$120,'117 Battles '!$H$4:$H$120,"-")</f>
        <v>INC</v>
      </c>
      <c r="H21" s="19" t="str">
        <f t="array" ref="H21">_xlfn.XLOOKUP(C21,'117 Battles '!$B$4:$B$120,'117 Battles '!$I$4:$I$120,"-")</f>
        <v>AAP</v>
      </c>
      <c r="I21" s="19" t="str">
        <f t="array" ref="I21">_xlfn.XLOOKUP(C21,'117 Battles '!$B$4:$B$120,'117 Battles '!$M$4:$M$120,"-")</f>
        <v>BJP</v>
      </c>
      <c r="J21" s="17">
        <f t="array" ref="J21">_xlfn.XLOOKUP(C21,'2022 Assembly'!$B$4:$B$120,'2022 Assembly'!$O$4:$O$120,"-")</f>
        <v>4.92</v>
      </c>
      <c r="K21" s="19" t="str">
        <f t="array" ref="K21">_xlfn.XLOOKUP(C21,'117 Battles '!$B$4:$B$120,'117 Battles '!$K$4:$K$120,"-")</f>
        <v>BJP</v>
      </c>
      <c r="L21" s="17">
        <f t="array" ref="L21">_xlfn.Xlookup(C21,'Assembly Competitiveness'!$B$4:$B$120,'Assembly Competitiveness'!$O$4:$O$120,"-")</f>
        <v>49.998</v>
      </c>
      <c r="M21" s="17">
        <f t="array" ref="M21">_xlfn.XLOOKUP(C21,'Assembly Volatality'!$B$4:$B$120,'Assembly Volatality'!$L$4:$L$120,"-")</f>
        <v>62.3</v>
      </c>
      <c r="N21" s="19" t="str">
        <f t="array" ref="N21">_xlfn.XLOOKUP(C21,'117 Battles '!$B$4:$B$120,'117 Battles '!$F$4:$F$120,"-")</f>
        <v>Battleground</v>
      </c>
      <c r="O21" s="19" t="str">
        <f t="array" ref="O21">_xlfn.XLOOKUP(C21,'117 Battles '!$B$4:$B$120,'117 Battles '!$R$4:$R$120,"-")</f>
        <v>BJP</v>
      </c>
      <c r="P21" s="7"/>
      <c r="Q21" s="19" t="s">
        <v>319</v>
      </c>
      <c r="R21" s="19" t="s">
        <v>219</v>
      </c>
      <c r="S21" s="6">
        <f t="shared" si="2"/>
        <v>54.9</v>
      </c>
    </row>
    <row r="22">
      <c r="A22" s="17">
        <v>20.0</v>
      </c>
      <c r="B22" s="17">
        <v>59.0</v>
      </c>
      <c r="C22" s="19" t="s">
        <v>320</v>
      </c>
      <c r="D22" s="19" t="s">
        <v>35</v>
      </c>
      <c r="E22" s="19" t="str">
        <f t="array" ref="E22">_xlfn.XLOOKUP(C22,'117 Battles '!$B$4:$B$120,'117 Battles '!$E$4:$E$120,"-")</f>
        <v>Hardeep Singh Mundian</v>
      </c>
      <c r="F22" s="22" t="str">
        <f t="array" ref="F22">_xlfn.XLOOKUP(C22,'117 Battles '!$B$4:$B$120,'117 Battles '!$G$4:$G$120,"-")</f>
        <v>AAP</v>
      </c>
      <c r="G22" s="22" t="str">
        <f t="array" ref="G22">_xlfn.XLOOKUP(C22,'117 Battles '!$B$4:$B$120,'117 Battles '!$H$4:$H$120,"-")</f>
        <v>SAD</v>
      </c>
      <c r="H22" s="19" t="str">
        <f t="array" ref="H22">_xlfn.XLOOKUP(C22,'117 Battles '!$B$4:$B$120,'117 Battles '!$I$4:$I$120,"-")</f>
        <v>AAP</v>
      </c>
      <c r="I22" s="19" t="str">
        <f t="array" ref="I22">_xlfn.XLOOKUP(C22,'117 Battles '!$B$4:$B$120,'117 Battles '!$M$4:$M$120,"-")</f>
        <v>INC</v>
      </c>
      <c r="J22" s="17">
        <f t="array" ref="J22">_xlfn.XLOOKUP(C22,'2022 Assembly'!$B$4:$B$120,'2022 Assembly'!$O$4:$O$120,"-")</f>
        <v>8.51</v>
      </c>
      <c r="K22" s="19" t="str">
        <f t="array" ref="K22">_xlfn.XLOOKUP(C22,'117 Battles '!$B$4:$B$120,'117 Battles '!$K$4:$K$120,"-")</f>
        <v>INC</v>
      </c>
      <c r="L22" s="17">
        <f t="array" ref="L22">_xlfn.Xlookup(C22,'Assembly Competitiveness'!$B$4:$B$120,'Assembly Competitiveness'!$O$4:$O$120,"-")</f>
        <v>55.4205</v>
      </c>
      <c r="M22" s="17">
        <f t="array" ref="M22">_xlfn.XLOOKUP(C22,'Assembly Volatality'!$B$4:$B$120,'Assembly Volatality'!$L$4:$L$120,"-")</f>
        <v>53.74</v>
      </c>
      <c r="N22" s="19" t="str">
        <f t="array" ref="N22">_xlfn.XLOOKUP(C22,'117 Battles '!$B$4:$B$120,'117 Battles '!$F$4:$F$120,"-")</f>
        <v>Battleground</v>
      </c>
      <c r="O22" s="19" t="str">
        <f t="array" ref="O22">_xlfn.XLOOKUP(C22,'117 Battles '!$B$4:$B$120,'117 Battles '!$R$4:$R$120,"-")</f>
        <v>INC</v>
      </c>
      <c r="P22" s="22"/>
      <c r="Q22" s="22" t="s">
        <v>346</v>
      </c>
      <c r="R22" s="22" t="s">
        <v>347</v>
      </c>
      <c r="S22" s="6">
        <f t="shared" si="2"/>
        <v>54.7</v>
      </c>
    </row>
    <row r="23">
      <c r="G23" s="22" t="str">
        <f t="array" ref="G23">_xlfn.XLOOKUP(C23,'117 Battles '!$B$4:$B$120,'117 Battles '!$H$4:$H$120,"-")</f>
        <v>-</v>
      </c>
      <c r="H23" s="19" t="str">
        <f t="array" ref="H23">_xlfn.XLOOKUP(C23,'117 Battles '!$B$4:$B$120,'117 Battles '!$I$4:$I$120,"-")</f>
        <v>-</v>
      </c>
      <c r="I23" s="19" t="str">
        <f t="array" ref="I23">_xlfn.XLOOKUP(C23,'117 Battles '!$B$4:$B$120,'117 Battles '!$M$4:$M$120,"-")</f>
        <v>-</v>
      </c>
      <c r="S23" s="6"/>
    </row>
    <row r="24">
      <c r="A24" s="17"/>
      <c r="B24" s="19"/>
      <c r="C24" s="19"/>
      <c r="D24" s="19"/>
      <c r="E24" s="76"/>
      <c r="F24" s="19"/>
      <c r="G24" s="19"/>
      <c r="H24" s="19"/>
      <c r="I24" s="19"/>
      <c r="J24" s="19"/>
      <c r="K24" s="7"/>
      <c r="L24" s="19"/>
      <c r="M24" s="17"/>
      <c r="N24" s="17"/>
      <c r="O24" s="17"/>
      <c r="P24" s="17"/>
      <c r="Q24" s="19"/>
      <c r="R24" s="19"/>
      <c r="S24" s="7"/>
      <c r="T24" s="7"/>
      <c r="U24" s="7"/>
      <c r="V24" s="19"/>
      <c r="W24" s="7"/>
    </row>
    <row r="25">
      <c r="A25" s="17"/>
      <c r="B25" s="19"/>
      <c r="C25" s="19"/>
      <c r="D25" s="19"/>
      <c r="E25" s="78"/>
      <c r="F25" s="19"/>
      <c r="G25" s="19"/>
      <c r="H25" s="19"/>
      <c r="I25" s="19"/>
      <c r="J25" s="19"/>
      <c r="K25" s="7"/>
      <c r="L25" s="19"/>
      <c r="M25" s="17"/>
      <c r="N25" s="17"/>
      <c r="O25" s="17"/>
      <c r="P25" s="17"/>
      <c r="Q25" s="19"/>
      <c r="R25" s="19"/>
      <c r="S25" s="7"/>
      <c r="T25" s="7"/>
      <c r="U25" s="7"/>
      <c r="V25" s="19"/>
      <c r="W25" s="7"/>
    </row>
    <row r="26">
      <c r="A26" s="17"/>
      <c r="B26" s="19"/>
      <c r="C26" s="19"/>
      <c r="D26" s="19"/>
      <c r="E26" s="80"/>
      <c r="F26" s="19"/>
      <c r="G26" s="19"/>
      <c r="H26" s="19"/>
      <c r="I26" s="19"/>
      <c r="J26" s="19"/>
      <c r="K26" s="7"/>
      <c r="L26" s="19"/>
      <c r="M26" s="17"/>
      <c r="N26" s="17"/>
      <c r="O26" s="17"/>
      <c r="P26" s="17"/>
      <c r="Q26" s="19"/>
      <c r="R26" s="19"/>
      <c r="S26" s="7"/>
      <c r="T26" s="7"/>
      <c r="U26" s="7"/>
      <c r="V26" s="19"/>
      <c r="W26" s="7"/>
    </row>
    <row r="27">
      <c r="A27" s="17"/>
      <c r="B27" s="19"/>
      <c r="C27" s="19"/>
      <c r="D27" s="19"/>
      <c r="E27" s="80"/>
      <c r="F27" s="19"/>
      <c r="G27" s="19"/>
      <c r="H27" s="19"/>
      <c r="I27" s="19"/>
      <c r="J27" s="19"/>
      <c r="K27" s="7"/>
      <c r="L27" s="19"/>
      <c r="M27" s="17"/>
      <c r="N27" s="17"/>
      <c r="O27" s="17"/>
      <c r="P27" s="17"/>
      <c r="Q27" s="19"/>
      <c r="R27" s="19"/>
      <c r="S27" s="7"/>
      <c r="T27" s="7"/>
      <c r="U27" s="7"/>
      <c r="V27" s="19"/>
      <c r="W27" s="7"/>
    </row>
    <row r="28">
      <c r="S28" s="6"/>
    </row>
    <row r="29">
      <c r="S29" s="6"/>
    </row>
    <row r="30">
      <c r="S30" s="6"/>
    </row>
    <row r="31">
      <c r="S31" s="6"/>
    </row>
    <row r="32">
      <c r="S32" s="6"/>
    </row>
    <row r="33">
      <c r="S33" s="6"/>
    </row>
    <row r="34">
      <c r="S34" s="6"/>
    </row>
    <row r="35">
      <c r="S35" s="6"/>
    </row>
    <row r="36">
      <c r="S36" s="6"/>
    </row>
    <row r="37">
      <c r="S37" s="6"/>
    </row>
    <row r="38">
      <c r="S38" s="6"/>
    </row>
    <row r="39">
      <c r="S39" s="6"/>
    </row>
    <row r="40">
      <c r="S40" s="6"/>
    </row>
    <row r="41">
      <c r="S41" s="6"/>
    </row>
    <row r="42">
      <c r="S42" s="6"/>
    </row>
    <row r="43">
      <c r="S43" s="6"/>
    </row>
    <row r="44">
      <c r="S44" s="6"/>
    </row>
    <row r="45">
      <c r="S45" s="6"/>
    </row>
    <row r="46">
      <c r="S46" s="6"/>
    </row>
    <row r="47">
      <c r="S47" s="6"/>
    </row>
    <row r="48">
      <c r="S48" s="6"/>
    </row>
    <row r="49">
      <c r="S49" s="6"/>
    </row>
    <row r="50">
      <c r="S50" s="6"/>
    </row>
    <row r="51">
      <c r="S51" s="6"/>
    </row>
    <row r="52">
      <c r="S52" s="6"/>
    </row>
    <row r="53">
      <c r="S53" s="6"/>
    </row>
    <row r="54">
      <c r="S54" s="6"/>
    </row>
    <row r="55">
      <c r="S55" s="6"/>
    </row>
    <row r="56">
      <c r="S56" s="6"/>
    </row>
    <row r="57">
      <c r="S57" s="6"/>
    </row>
    <row r="58">
      <c r="S58" s="6"/>
    </row>
    <row r="59">
      <c r="S59" s="6"/>
    </row>
    <row r="60">
      <c r="S60" s="6"/>
    </row>
    <row r="61">
      <c r="S61" s="6"/>
    </row>
    <row r="62">
      <c r="S62" s="6"/>
    </row>
    <row r="63">
      <c r="S63" s="6"/>
    </row>
    <row r="64">
      <c r="S64" s="6"/>
    </row>
    <row r="65">
      <c r="S65" s="6"/>
    </row>
    <row r="66">
      <c r="S66" s="6"/>
    </row>
    <row r="67">
      <c r="S67" s="6"/>
    </row>
    <row r="68">
      <c r="S68" s="6"/>
    </row>
    <row r="69">
      <c r="S69" s="6"/>
    </row>
    <row r="70">
      <c r="S70" s="6"/>
    </row>
    <row r="71">
      <c r="S71" s="6"/>
    </row>
    <row r="72">
      <c r="S72" s="6"/>
    </row>
    <row r="73">
      <c r="S73" s="6"/>
    </row>
    <row r="74">
      <c r="S74" s="6"/>
    </row>
    <row r="75">
      <c r="S75" s="6"/>
    </row>
    <row r="76">
      <c r="S76" s="6"/>
    </row>
    <row r="77">
      <c r="S77" s="6"/>
    </row>
    <row r="78">
      <c r="S78" s="6"/>
    </row>
    <row r="79">
      <c r="S79" s="6"/>
    </row>
    <row r="80">
      <c r="S80" s="6"/>
    </row>
    <row r="81">
      <c r="S81" s="6"/>
    </row>
    <row r="82">
      <c r="S82" s="6"/>
    </row>
    <row r="83">
      <c r="S83" s="6"/>
    </row>
    <row r="84">
      <c r="S84" s="6"/>
    </row>
    <row r="85">
      <c r="S85" s="6"/>
    </row>
    <row r="86">
      <c r="S86" s="6"/>
    </row>
    <row r="87">
      <c r="S87" s="6"/>
    </row>
    <row r="88">
      <c r="S88" s="6"/>
    </row>
    <row r="89">
      <c r="S89" s="6"/>
    </row>
    <row r="90">
      <c r="S90" s="6"/>
    </row>
    <row r="91">
      <c r="S91" s="6"/>
    </row>
    <row r="92">
      <c r="S92" s="6"/>
    </row>
    <row r="93">
      <c r="S93" s="6"/>
    </row>
    <row r="94">
      <c r="S94" s="6"/>
    </row>
    <row r="95">
      <c r="S95" s="6"/>
    </row>
    <row r="96">
      <c r="S96" s="6"/>
    </row>
    <row r="97">
      <c r="S97" s="6"/>
    </row>
    <row r="98">
      <c r="S98" s="6"/>
    </row>
    <row r="99">
      <c r="S99" s="6"/>
    </row>
    <row r="100">
      <c r="S100" s="6"/>
    </row>
    <row r="101">
      <c r="S101" s="6"/>
    </row>
    <row r="102">
      <c r="S102" s="6"/>
    </row>
    <row r="103">
      <c r="S103" s="6"/>
    </row>
    <row r="104">
      <c r="S104" s="6"/>
    </row>
    <row r="105">
      <c r="S105" s="6"/>
    </row>
    <row r="106">
      <c r="S106" s="6"/>
    </row>
    <row r="107">
      <c r="S107" s="6"/>
    </row>
    <row r="108">
      <c r="S108" s="6"/>
    </row>
    <row r="109">
      <c r="S109" s="6"/>
    </row>
    <row r="110">
      <c r="S110" s="6"/>
    </row>
    <row r="111">
      <c r="S111" s="6"/>
    </row>
    <row r="112">
      <c r="S112" s="6"/>
    </row>
    <row r="113">
      <c r="S113" s="6"/>
    </row>
    <row r="114">
      <c r="S114" s="6"/>
    </row>
    <row r="115">
      <c r="S115" s="6"/>
    </row>
    <row r="116">
      <c r="S116" s="6"/>
    </row>
    <row r="117">
      <c r="S117" s="6"/>
    </row>
    <row r="118">
      <c r="S118" s="6"/>
    </row>
    <row r="119">
      <c r="S119" s="6"/>
    </row>
    <row r="120">
      <c r="S120" s="6"/>
    </row>
    <row r="121">
      <c r="S121" s="6"/>
    </row>
    <row r="122">
      <c r="S122" s="6"/>
    </row>
    <row r="123">
      <c r="S123" s="6"/>
    </row>
    <row r="124">
      <c r="S124" s="6"/>
    </row>
    <row r="125">
      <c r="S125" s="6"/>
    </row>
    <row r="126">
      <c r="S126" s="6"/>
    </row>
    <row r="127">
      <c r="S127" s="6"/>
    </row>
    <row r="128">
      <c r="S128" s="6"/>
    </row>
    <row r="129">
      <c r="S129" s="6"/>
    </row>
    <row r="130">
      <c r="S130" s="6"/>
    </row>
    <row r="131">
      <c r="S131" s="6"/>
    </row>
    <row r="132">
      <c r="S132" s="6"/>
    </row>
    <row r="133">
      <c r="S133" s="6"/>
    </row>
    <row r="134">
      <c r="S134" s="6"/>
    </row>
    <row r="135">
      <c r="S135" s="6"/>
    </row>
    <row r="136">
      <c r="S136" s="6"/>
    </row>
    <row r="137">
      <c r="S137" s="6"/>
    </row>
    <row r="138">
      <c r="S138" s="6"/>
    </row>
    <row r="139">
      <c r="S139" s="6"/>
    </row>
    <row r="140">
      <c r="S140" s="6"/>
    </row>
    <row r="141">
      <c r="S141" s="6"/>
    </row>
    <row r="142">
      <c r="S142" s="6"/>
    </row>
    <row r="143">
      <c r="S143" s="6"/>
    </row>
    <row r="144">
      <c r="S144" s="6"/>
    </row>
    <row r="145">
      <c r="S145" s="6"/>
    </row>
    <row r="146">
      <c r="S146" s="6"/>
    </row>
    <row r="147">
      <c r="S147" s="6"/>
    </row>
    <row r="148">
      <c r="S148" s="6"/>
    </row>
    <row r="149">
      <c r="S149" s="6"/>
    </row>
    <row r="150">
      <c r="S150" s="6"/>
    </row>
    <row r="151">
      <c r="S151" s="6"/>
    </row>
    <row r="152">
      <c r="S152" s="6"/>
    </row>
    <row r="153">
      <c r="S153" s="6"/>
    </row>
    <row r="154">
      <c r="S154" s="6"/>
    </row>
    <row r="155">
      <c r="S155" s="6"/>
    </row>
    <row r="156">
      <c r="S156" s="6"/>
    </row>
    <row r="157">
      <c r="S157" s="6"/>
    </row>
    <row r="158">
      <c r="S158" s="6"/>
    </row>
    <row r="159">
      <c r="S159" s="6"/>
    </row>
    <row r="160">
      <c r="S160" s="6"/>
    </row>
    <row r="161">
      <c r="S161" s="6"/>
    </row>
    <row r="162">
      <c r="S162" s="6"/>
    </row>
    <row r="163">
      <c r="S163" s="6"/>
    </row>
    <row r="164">
      <c r="S164" s="6"/>
    </row>
    <row r="165">
      <c r="S165" s="6"/>
    </row>
    <row r="166">
      <c r="S166" s="6"/>
    </row>
    <row r="167">
      <c r="S167" s="6"/>
    </row>
    <row r="168">
      <c r="S168" s="6"/>
    </row>
    <row r="169">
      <c r="S169" s="6"/>
    </row>
    <row r="170">
      <c r="S170" s="6"/>
    </row>
    <row r="171">
      <c r="S171" s="6"/>
    </row>
    <row r="172">
      <c r="S172" s="6"/>
    </row>
    <row r="173">
      <c r="S173" s="6"/>
    </row>
    <row r="174">
      <c r="S174" s="6"/>
    </row>
    <row r="175">
      <c r="S175" s="6"/>
    </row>
    <row r="176">
      <c r="S176" s="6"/>
    </row>
    <row r="177">
      <c r="S177" s="6"/>
    </row>
    <row r="178">
      <c r="S178" s="6"/>
    </row>
    <row r="179">
      <c r="S179" s="6"/>
    </row>
    <row r="180">
      <c r="S180" s="6"/>
    </row>
    <row r="181">
      <c r="S181" s="6"/>
    </row>
    <row r="182">
      <c r="S182" s="6"/>
    </row>
    <row r="183">
      <c r="S183" s="6"/>
    </row>
    <row r="184">
      <c r="S184" s="6"/>
    </row>
    <row r="185">
      <c r="S185" s="6"/>
    </row>
    <row r="186">
      <c r="S186" s="6"/>
    </row>
    <row r="187">
      <c r="S187" s="6"/>
    </row>
    <row r="188">
      <c r="S188" s="6"/>
    </row>
    <row r="189">
      <c r="S189" s="6"/>
    </row>
    <row r="190">
      <c r="S190" s="6"/>
    </row>
    <row r="191">
      <c r="S191" s="6"/>
    </row>
    <row r="192">
      <c r="S192" s="6"/>
    </row>
    <row r="193">
      <c r="S193" s="6"/>
    </row>
    <row r="194">
      <c r="S194" s="6"/>
    </row>
    <row r="195">
      <c r="S195" s="6"/>
    </row>
    <row r="196">
      <c r="S196" s="6"/>
    </row>
    <row r="197">
      <c r="S197" s="6"/>
    </row>
    <row r="198">
      <c r="S198" s="6"/>
    </row>
    <row r="199">
      <c r="S199" s="6"/>
    </row>
    <row r="200">
      <c r="S200" s="6"/>
    </row>
    <row r="201">
      <c r="S201" s="6"/>
    </row>
    <row r="202">
      <c r="S202" s="6"/>
    </row>
    <row r="203">
      <c r="S203" s="6"/>
    </row>
    <row r="204">
      <c r="S204" s="6"/>
    </row>
    <row r="205">
      <c r="S205" s="6"/>
    </row>
    <row r="206">
      <c r="S206" s="6"/>
    </row>
    <row r="207">
      <c r="S207" s="6"/>
    </row>
    <row r="208">
      <c r="S208" s="6"/>
    </row>
    <row r="209">
      <c r="S209" s="6"/>
    </row>
    <row r="210">
      <c r="S210" s="6"/>
    </row>
    <row r="211">
      <c r="S211" s="6"/>
    </row>
    <row r="212">
      <c r="S212" s="6"/>
    </row>
    <row r="213">
      <c r="S213" s="6"/>
    </row>
    <row r="214">
      <c r="S214" s="6"/>
    </row>
    <row r="215">
      <c r="S215" s="6"/>
    </row>
    <row r="216">
      <c r="S216" s="6"/>
    </row>
    <row r="217">
      <c r="S217" s="6"/>
    </row>
    <row r="218">
      <c r="S218" s="6"/>
    </row>
    <row r="219">
      <c r="S219" s="6"/>
    </row>
    <row r="220">
      <c r="S220" s="6"/>
    </row>
    <row r="221">
      <c r="S221" s="6"/>
    </row>
    <row r="222">
      <c r="S222" s="6"/>
    </row>
    <row r="223">
      <c r="S223" s="6"/>
    </row>
    <row r="224">
      <c r="S224" s="6"/>
    </row>
    <row r="225">
      <c r="S225" s="6"/>
    </row>
    <row r="226">
      <c r="S226" s="6"/>
    </row>
    <row r="227">
      <c r="S227" s="6"/>
    </row>
    <row r="228">
      <c r="S228" s="6"/>
    </row>
    <row r="229">
      <c r="S229" s="6"/>
    </row>
    <row r="230">
      <c r="S230" s="6"/>
    </row>
    <row r="231">
      <c r="S231" s="6"/>
    </row>
    <row r="232">
      <c r="S232" s="6"/>
    </row>
    <row r="233">
      <c r="S233" s="6"/>
    </row>
    <row r="234">
      <c r="S234" s="6"/>
    </row>
    <row r="235">
      <c r="S235" s="6"/>
    </row>
    <row r="236">
      <c r="S236" s="6"/>
    </row>
    <row r="237">
      <c r="S237" s="6"/>
    </row>
    <row r="238">
      <c r="S238" s="6"/>
    </row>
    <row r="239">
      <c r="S239" s="6"/>
    </row>
    <row r="240">
      <c r="S240" s="6"/>
    </row>
    <row r="241">
      <c r="S241" s="6"/>
    </row>
    <row r="242">
      <c r="S242" s="6"/>
    </row>
    <row r="243">
      <c r="S243" s="6"/>
    </row>
    <row r="244">
      <c r="S244" s="6"/>
    </row>
    <row r="245">
      <c r="S245" s="6"/>
    </row>
    <row r="246">
      <c r="S246" s="6"/>
    </row>
    <row r="247">
      <c r="S247" s="6"/>
    </row>
    <row r="248">
      <c r="S248" s="6"/>
    </row>
    <row r="249">
      <c r="S249" s="6"/>
    </row>
    <row r="250">
      <c r="S250" s="6"/>
    </row>
    <row r="251">
      <c r="S251" s="6"/>
    </row>
    <row r="252">
      <c r="S252" s="6"/>
    </row>
    <row r="253">
      <c r="S253" s="6"/>
    </row>
    <row r="254">
      <c r="S254" s="6"/>
    </row>
    <row r="255">
      <c r="S255" s="6"/>
    </row>
    <row r="256">
      <c r="S256" s="6"/>
    </row>
    <row r="257">
      <c r="S257" s="6"/>
    </row>
    <row r="258">
      <c r="S258" s="6"/>
    </row>
    <row r="259">
      <c r="S259" s="6"/>
    </row>
    <row r="260">
      <c r="S260" s="6"/>
    </row>
    <row r="261">
      <c r="S261" s="6"/>
    </row>
    <row r="262">
      <c r="S262" s="6"/>
    </row>
    <row r="263">
      <c r="S263" s="6"/>
    </row>
    <row r="264">
      <c r="S264" s="6"/>
    </row>
    <row r="265">
      <c r="S265" s="6"/>
    </row>
    <row r="266">
      <c r="S266" s="6"/>
    </row>
    <row r="267">
      <c r="S267" s="6"/>
    </row>
    <row r="268">
      <c r="S268" s="6"/>
    </row>
    <row r="269">
      <c r="S269" s="6"/>
    </row>
    <row r="270">
      <c r="S270" s="6"/>
    </row>
    <row r="271">
      <c r="S271" s="6"/>
    </row>
    <row r="272">
      <c r="S272" s="6"/>
    </row>
    <row r="273">
      <c r="S273" s="6"/>
    </row>
    <row r="274">
      <c r="S274" s="6"/>
    </row>
    <row r="275">
      <c r="S275" s="6"/>
    </row>
    <row r="276">
      <c r="S276" s="6"/>
    </row>
    <row r="277">
      <c r="S277" s="6"/>
    </row>
    <row r="278">
      <c r="S278" s="6"/>
    </row>
    <row r="279">
      <c r="S279" s="6"/>
    </row>
    <row r="280">
      <c r="S280" s="6"/>
    </row>
    <row r="281">
      <c r="S281" s="6"/>
    </row>
    <row r="282">
      <c r="S282" s="6"/>
    </row>
    <row r="283">
      <c r="S283" s="6"/>
    </row>
    <row r="284">
      <c r="S284" s="6"/>
    </row>
    <row r="285">
      <c r="S285" s="6"/>
    </row>
    <row r="286">
      <c r="S286" s="6"/>
    </row>
    <row r="287">
      <c r="S287" s="6"/>
    </row>
    <row r="288">
      <c r="S288" s="6"/>
    </row>
    <row r="289">
      <c r="S289" s="6"/>
    </row>
    <row r="290">
      <c r="S290" s="6"/>
    </row>
    <row r="291">
      <c r="S291" s="6"/>
    </row>
    <row r="292">
      <c r="S292" s="6"/>
    </row>
    <row r="293">
      <c r="S293" s="6"/>
    </row>
    <row r="294">
      <c r="S294" s="6"/>
    </row>
    <row r="295">
      <c r="S295" s="6"/>
    </row>
    <row r="296">
      <c r="S296" s="6"/>
    </row>
    <row r="297">
      <c r="S297" s="6"/>
    </row>
    <row r="298">
      <c r="S298" s="6"/>
    </row>
    <row r="299">
      <c r="S299" s="6"/>
    </row>
    <row r="300">
      <c r="S300" s="6"/>
    </row>
    <row r="301">
      <c r="S301" s="6"/>
    </row>
    <row r="302">
      <c r="S302" s="6"/>
    </row>
    <row r="303">
      <c r="S303" s="6"/>
    </row>
    <row r="304">
      <c r="S304" s="6"/>
    </row>
    <row r="305">
      <c r="S305" s="6"/>
    </row>
    <row r="306">
      <c r="S306" s="6"/>
    </row>
    <row r="307">
      <c r="S307" s="6"/>
    </row>
    <row r="308">
      <c r="S308" s="6"/>
    </row>
    <row r="309">
      <c r="S309" s="6"/>
    </row>
    <row r="310">
      <c r="S310" s="6"/>
    </row>
    <row r="311">
      <c r="S311" s="6"/>
    </row>
    <row r="312">
      <c r="S312" s="6"/>
    </row>
    <row r="313">
      <c r="S313" s="6"/>
    </row>
    <row r="314">
      <c r="S314" s="6"/>
    </row>
    <row r="315">
      <c r="S315" s="6"/>
    </row>
    <row r="316">
      <c r="S316" s="6"/>
    </row>
    <row r="317">
      <c r="S317" s="6"/>
    </row>
    <row r="318">
      <c r="S318" s="6"/>
    </row>
    <row r="319">
      <c r="S319" s="6"/>
    </row>
    <row r="320">
      <c r="S320" s="6"/>
    </row>
    <row r="321">
      <c r="S321" s="6"/>
    </row>
    <row r="322">
      <c r="S322" s="6"/>
    </row>
    <row r="323">
      <c r="S323" s="6"/>
    </row>
    <row r="324">
      <c r="S324" s="6"/>
    </row>
    <row r="325">
      <c r="S325" s="6"/>
    </row>
    <row r="326">
      <c r="S326" s="6"/>
    </row>
    <row r="327">
      <c r="S327" s="6"/>
    </row>
    <row r="328">
      <c r="S328" s="6"/>
    </row>
    <row r="329">
      <c r="S329" s="6"/>
    </row>
    <row r="330">
      <c r="S330" s="6"/>
    </row>
    <row r="331">
      <c r="S331" s="6"/>
    </row>
    <row r="332">
      <c r="S332" s="6"/>
    </row>
    <row r="333">
      <c r="S333" s="6"/>
    </row>
    <row r="334">
      <c r="S334" s="6"/>
    </row>
    <row r="335">
      <c r="S335" s="6"/>
    </row>
    <row r="336">
      <c r="S336" s="6"/>
    </row>
    <row r="337">
      <c r="S337" s="6"/>
    </row>
    <row r="338">
      <c r="S338" s="6"/>
    </row>
    <row r="339">
      <c r="S339" s="6"/>
    </row>
    <row r="340">
      <c r="S340" s="6"/>
    </row>
    <row r="341">
      <c r="S341" s="6"/>
    </row>
    <row r="342">
      <c r="S342" s="6"/>
    </row>
    <row r="343">
      <c r="S343" s="6"/>
    </row>
    <row r="344">
      <c r="S344" s="6"/>
    </row>
    <row r="345">
      <c r="S345" s="6"/>
    </row>
    <row r="346">
      <c r="S346" s="6"/>
    </row>
    <row r="347">
      <c r="S347" s="6"/>
    </row>
    <row r="348">
      <c r="S348" s="6"/>
    </row>
    <row r="349">
      <c r="S349" s="6"/>
    </row>
    <row r="350">
      <c r="S350" s="6"/>
    </row>
    <row r="351">
      <c r="S351" s="6"/>
    </row>
    <row r="352">
      <c r="S352" s="6"/>
    </row>
    <row r="353">
      <c r="S353" s="6"/>
    </row>
    <row r="354">
      <c r="S354" s="6"/>
    </row>
    <row r="355">
      <c r="S355" s="6"/>
    </row>
    <row r="356">
      <c r="S356" s="6"/>
    </row>
    <row r="357">
      <c r="S357" s="6"/>
    </row>
    <row r="358">
      <c r="S358" s="6"/>
    </row>
    <row r="359">
      <c r="S359" s="6"/>
    </row>
    <row r="360">
      <c r="S360" s="6"/>
    </row>
    <row r="361">
      <c r="S361" s="6"/>
    </row>
    <row r="362">
      <c r="S362" s="6"/>
    </row>
    <row r="363">
      <c r="S363" s="6"/>
    </row>
    <row r="364">
      <c r="S364" s="6"/>
    </row>
    <row r="365">
      <c r="S365" s="6"/>
    </row>
    <row r="366">
      <c r="S366" s="6"/>
    </row>
    <row r="367">
      <c r="S367" s="6"/>
    </row>
    <row r="368">
      <c r="S368" s="6"/>
    </row>
    <row r="369">
      <c r="S369" s="6"/>
    </row>
    <row r="370">
      <c r="S370" s="6"/>
    </row>
    <row r="371">
      <c r="S371" s="6"/>
    </row>
    <row r="372">
      <c r="S372" s="6"/>
    </row>
    <row r="373">
      <c r="S373" s="6"/>
    </row>
    <row r="374">
      <c r="S374" s="6"/>
    </row>
    <row r="375">
      <c r="S375" s="6"/>
    </row>
    <row r="376">
      <c r="S376" s="6"/>
    </row>
    <row r="377">
      <c r="S377" s="6"/>
    </row>
    <row r="378">
      <c r="S378" s="6"/>
    </row>
    <row r="379">
      <c r="S379" s="6"/>
    </row>
    <row r="380">
      <c r="S380" s="6"/>
    </row>
    <row r="381">
      <c r="S381" s="6"/>
    </row>
    <row r="382">
      <c r="S382" s="6"/>
    </row>
    <row r="383">
      <c r="S383" s="6"/>
    </row>
    <row r="384">
      <c r="S384" s="6"/>
    </row>
    <row r="385">
      <c r="S385" s="6"/>
    </row>
    <row r="386">
      <c r="S386" s="6"/>
    </row>
    <row r="387">
      <c r="S387" s="6"/>
    </row>
    <row r="388">
      <c r="S388" s="6"/>
    </row>
    <row r="389">
      <c r="S389" s="6"/>
    </row>
    <row r="390">
      <c r="S390" s="6"/>
    </row>
    <row r="391">
      <c r="S391" s="6"/>
    </row>
    <row r="392">
      <c r="S392" s="6"/>
    </row>
    <row r="393">
      <c r="S393" s="6"/>
    </row>
    <row r="394">
      <c r="S394" s="6"/>
    </row>
    <row r="395">
      <c r="S395" s="6"/>
    </row>
    <row r="396">
      <c r="S396" s="6"/>
    </row>
    <row r="397">
      <c r="S397" s="6"/>
    </row>
    <row r="398">
      <c r="S398" s="6"/>
    </row>
    <row r="399">
      <c r="S399" s="6"/>
    </row>
    <row r="400">
      <c r="S400" s="6"/>
    </row>
    <row r="401">
      <c r="S401" s="6"/>
    </row>
    <row r="402">
      <c r="S402" s="6"/>
    </row>
    <row r="403">
      <c r="S403" s="6"/>
    </row>
    <row r="404">
      <c r="S404" s="6"/>
    </row>
    <row r="405">
      <c r="S405" s="6"/>
    </row>
    <row r="406">
      <c r="S406" s="6"/>
    </row>
    <row r="407">
      <c r="S407" s="6"/>
    </row>
    <row r="408">
      <c r="S408" s="6"/>
    </row>
    <row r="409">
      <c r="S409" s="6"/>
    </row>
    <row r="410">
      <c r="S410" s="6"/>
    </row>
    <row r="411">
      <c r="S411" s="6"/>
    </row>
    <row r="412">
      <c r="S412" s="6"/>
    </row>
    <row r="413">
      <c r="S413" s="6"/>
    </row>
    <row r="414">
      <c r="S414" s="6"/>
    </row>
    <row r="415">
      <c r="S415" s="6"/>
    </row>
    <row r="416">
      <c r="S416" s="6"/>
    </row>
    <row r="417">
      <c r="S417" s="6"/>
    </row>
    <row r="418">
      <c r="S418" s="6"/>
    </row>
    <row r="419">
      <c r="S419" s="6"/>
    </row>
    <row r="420">
      <c r="S420" s="6"/>
    </row>
    <row r="421">
      <c r="S421" s="6"/>
    </row>
    <row r="422">
      <c r="S422" s="6"/>
    </row>
    <row r="423">
      <c r="S423" s="6"/>
    </row>
    <row r="424">
      <c r="S424" s="6"/>
    </row>
    <row r="425">
      <c r="S425" s="6"/>
    </row>
    <row r="426">
      <c r="S426" s="6"/>
    </row>
    <row r="427">
      <c r="S427" s="6"/>
    </row>
    <row r="428">
      <c r="S428" s="6"/>
    </row>
    <row r="429">
      <c r="S429" s="6"/>
    </row>
    <row r="430">
      <c r="S430" s="6"/>
    </row>
    <row r="431">
      <c r="S431" s="6"/>
    </row>
    <row r="432">
      <c r="S432" s="6"/>
    </row>
    <row r="433">
      <c r="S433" s="6"/>
    </row>
    <row r="434">
      <c r="S434" s="6"/>
    </row>
    <row r="435">
      <c r="S435" s="6"/>
    </row>
    <row r="436">
      <c r="S436" s="6"/>
    </row>
    <row r="437">
      <c r="S437" s="6"/>
    </row>
    <row r="438">
      <c r="S438" s="6"/>
    </row>
    <row r="439">
      <c r="S439" s="6"/>
    </row>
    <row r="440">
      <c r="S440" s="6"/>
    </row>
    <row r="441">
      <c r="S441" s="6"/>
    </row>
    <row r="442">
      <c r="S442" s="6"/>
    </row>
    <row r="443">
      <c r="S443" s="6"/>
    </row>
    <row r="444">
      <c r="S444" s="6"/>
    </row>
    <row r="445">
      <c r="S445" s="6"/>
    </row>
    <row r="446">
      <c r="S446" s="6"/>
    </row>
    <row r="447">
      <c r="S447" s="6"/>
    </row>
    <row r="448">
      <c r="S448" s="6"/>
    </row>
    <row r="449">
      <c r="S449" s="6"/>
    </row>
    <row r="450">
      <c r="S450" s="6"/>
    </row>
    <row r="451">
      <c r="S451" s="6"/>
    </row>
    <row r="452">
      <c r="S452" s="6"/>
    </row>
    <row r="453">
      <c r="S453" s="6"/>
    </row>
    <row r="454">
      <c r="S454" s="6"/>
    </row>
    <row r="455">
      <c r="S455" s="6"/>
    </row>
    <row r="456">
      <c r="S456" s="6"/>
    </row>
    <row r="457">
      <c r="S457" s="6"/>
    </row>
    <row r="458">
      <c r="S458" s="6"/>
    </row>
    <row r="459">
      <c r="S459" s="6"/>
    </row>
    <row r="460">
      <c r="S460" s="6"/>
    </row>
    <row r="461">
      <c r="S461" s="6"/>
    </row>
    <row r="462">
      <c r="S462" s="6"/>
    </row>
    <row r="463">
      <c r="S463" s="6"/>
    </row>
    <row r="464">
      <c r="S464" s="6"/>
    </row>
    <row r="465">
      <c r="S465" s="6"/>
    </row>
    <row r="466">
      <c r="S466" s="6"/>
    </row>
    <row r="467">
      <c r="S467" s="6"/>
    </row>
    <row r="468">
      <c r="S468" s="6"/>
    </row>
    <row r="469">
      <c r="S469" s="6"/>
    </row>
    <row r="470">
      <c r="S470" s="6"/>
    </row>
    <row r="471">
      <c r="S471" s="6"/>
    </row>
    <row r="472">
      <c r="S472" s="6"/>
    </row>
    <row r="473">
      <c r="S473" s="6"/>
    </row>
    <row r="474">
      <c r="S474" s="6"/>
    </row>
    <row r="475">
      <c r="S475" s="6"/>
    </row>
    <row r="476">
      <c r="S476" s="6"/>
    </row>
    <row r="477">
      <c r="S477" s="6"/>
    </row>
    <row r="478">
      <c r="S478" s="6"/>
    </row>
    <row r="479">
      <c r="S479" s="6"/>
    </row>
    <row r="480">
      <c r="S480" s="6"/>
    </row>
    <row r="481">
      <c r="S481" s="6"/>
    </row>
    <row r="482">
      <c r="S482" s="6"/>
    </row>
    <row r="483">
      <c r="S483" s="6"/>
    </row>
    <row r="484">
      <c r="S484" s="6"/>
    </row>
    <row r="485">
      <c r="S485" s="6"/>
    </row>
    <row r="486">
      <c r="S486" s="6"/>
    </row>
    <row r="487">
      <c r="S487" s="6"/>
    </row>
    <row r="488">
      <c r="S488" s="6"/>
    </row>
    <row r="489">
      <c r="S489" s="6"/>
    </row>
    <row r="490">
      <c r="S490" s="6"/>
    </row>
    <row r="491">
      <c r="S491" s="6"/>
    </row>
    <row r="492">
      <c r="S492" s="6"/>
    </row>
    <row r="493">
      <c r="S493" s="6"/>
    </row>
    <row r="494">
      <c r="S494" s="6"/>
    </row>
    <row r="495">
      <c r="S495" s="6"/>
    </row>
    <row r="496">
      <c r="S496" s="6"/>
    </row>
    <row r="497">
      <c r="S497" s="6"/>
    </row>
    <row r="498">
      <c r="S498" s="6"/>
    </row>
    <row r="499">
      <c r="S499" s="6"/>
    </row>
    <row r="500">
      <c r="S500" s="6"/>
    </row>
    <row r="501">
      <c r="S501" s="6"/>
    </row>
    <row r="502">
      <c r="S502" s="6"/>
    </row>
    <row r="503">
      <c r="S503" s="6"/>
    </row>
    <row r="504">
      <c r="S504" s="6"/>
    </row>
    <row r="505">
      <c r="S505" s="6"/>
    </row>
    <row r="506">
      <c r="S506" s="6"/>
    </row>
    <row r="507">
      <c r="S507" s="6"/>
    </row>
    <row r="508">
      <c r="S508" s="6"/>
    </row>
    <row r="509">
      <c r="S509" s="6"/>
    </row>
    <row r="510">
      <c r="S510" s="6"/>
    </row>
    <row r="511">
      <c r="S511" s="6"/>
    </row>
    <row r="512">
      <c r="S512" s="6"/>
    </row>
    <row r="513">
      <c r="S513" s="6"/>
    </row>
    <row r="514">
      <c r="S514" s="6"/>
    </row>
    <row r="515">
      <c r="S515" s="6"/>
    </row>
    <row r="516">
      <c r="S516" s="6"/>
    </row>
    <row r="517">
      <c r="S517" s="6"/>
    </row>
    <row r="518">
      <c r="S518" s="6"/>
    </row>
    <row r="519">
      <c r="S519" s="6"/>
    </row>
    <row r="520">
      <c r="S520" s="6"/>
    </row>
    <row r="521">
      <c r="S521" s="6"/>
    </row>
    <row r="522">
      <c r="S522" s="6"/>
    </row>
    <row r="523">
      <c r="S523" s="6"/>
    </row>
    <row r="524">
      <c r="S524" s="6"/>
    </row>
    <row r="525">
      <c r="S525" s="6"/>
    </row>
    <row r="526">
      <c r="S526" s="6"/>
    </row>
    <row r="527">
      <c r="S527" s="6"/>
    </row>
    <row r="528">
      <c r="S528" s="6"/>
    </row>
    <row r="529">
      <c r="S529" s="6"/>
    </row>
    <row r="530">
      <c r="S530" s="6"/>
    </row>
    <row r="531">
      <c r="S531" s="6"/>
    </row>
    <row r="532">
      <c r="S532" s="6"/>
    </row>
    <row r="533">
      <c r="S533" s="6"/>
    </row>
    <row r="534">
      <c r="S534" s="6"/>
    </row>
    <row r="535">
      <c r="S535" s="6"/>
    </row>
    <row r="536">
      <c r="S536" s="6"/>
    </row>
    <row r="537">
      <c r="S537" s="6"/>
    </row>
    <row r="538">
      <c r="S538" s="6"/>
    </row>
    <row r="539">
      <c r="S539" s="6"/>
    </row>
    <row r="540">
      <c r="S540" s="6"/>
    </row>
    <row r="541">
      <c r="S541" s="6"/>
    </row>
    <row r="542">
      <c r="S542" s="6"/>
    </row>
    <row r="543">
      <c r="S543" s="6"/>
    </row>
    <row r="544">
      <c r="S544" s="6"/>
    </row>
    <row r="545">
      <c r="S545" s="6"/>
    </row>
    <row r="546">
      <c r="S546" s="6"/>
    </row>
    <row r="547">
      <c r="S547" s="6"/>
    </row>
    <row r="548">
      <c r="S548" s="6"/>
    </row>
    <row r="549">
      <c r="S549" s="6"/>
    </row>
    <row r="550">
      <c r="S550" s="6"/>
    </row>
    <row r="551">
      <c r="S551" s="6"/>
    </row>
    <row r="552">
      <c r="S552" s="6"/>
    </row>
    <row r="553">
      <c r="S553" s="6"/>
    </row>
    <row r="554">
      <c r="S554" s="6"/>
    </row>
    <row r="555">
      <c r="S555" s="6"/>
    </row>
    <row r="556">
      <c r="S556" s="6"/>
    </row>
    <row r="557">
      <c r="S557" s="6"/>
    </row>
    <row r="558">
      <c r="S558" s="6"/>
    </row>
    <row r="559">
      <c r="S559" s="6"/>
    </row>
    <row r="560">
      <c r="S560" s="6"/>
    </row>
    <row r="561">
      <c r="S561" s="6"/>
    </row>
    <row r="562">
      <c r="S562" s="6"/>
    </row>
    <row r="563">
      <c r="S563" s="6"/>
    </row>
    <row r="564">
      <c r="S564" s="6"/>
    </row>
    <row r="565">
      <c r="S565" s="6"/>
    </row>
    <row r="566">
      <c r="S566" s="6"/>
    </row>
    <row r="567">
      <c r="S567" s="6"/>
    </row>
    <row r="568">
      <c r="S568" s="6"/>
    </row>
    <row r="569">
      <c r="S569" s="6"/>
    </row>
    <row r="570">
      <c r="S570" s="6"/>
    </row>
    <row r="571">
      <c r="S571" s="6"/>
    </row>
    <row r="572">
      <c r="S572" s="6"/>
    </row>
    <row r="573">
      <c r="S573" s="6"/>
    </row>
    <row r="574">
      <c r="S574" s="6"/>
    </row>
    <row r="575">
      <c r="S575" s="6"/>
    </row>
    <row r="576">
      <c r="S576" s="6"/>
    </row>
    <row r="577">
      <c r="S577" s="6"/>
    </row>
    <row r="578">
      <c r="S578" s="6"/>
    </row>
    <row r="579">
      <c r="S579" s="6"/>
    </row>
    <row r="580">
      <c r="S580" s="6"/>
    </row>
    <row r="581">
      <c r="S581" s="6"/>
    </row>
    <row r="582">
      <c r="S582" s="6"/>
    </row>
    <row r="583">
      <c r="S583" s="6"/>
    </row>
    <row r="584">
      <c r="S584" s="6"/>
    </row>
    <row r="585">
      <c r="S585" s="6"/>
    </row>
    <row r="586">
      <c r="S586" s="6"/>
    </row>
    <row r="587">
      <c r="S587" s="6"/>
    </row>
    <row r="588">
      <c r="S588" s="6"/>
    </row>
    <row r="589">
      <c r="S589" s="6"/>
    </row>
    <row r="590">
      <c r="S590" s="6"/>
    </row>
    <row r="591">
      <c r="S591" s="6"/>
    </row>
    <row r="592">
      <c r="S592" s="6"/>
    </row>
    <row r="593">
      <c r="S593" s="6"/>
    </row>
    <row r="594">
      <c r="S594" s="6"/>
    </row>
    <row r="595">
      <c r="S595" s="6"/>
    </row>
    <row r="596">
      <c r="S596" s="6"/>
    </row>
    <row r="597">
      <c r="S597" s="6"/>
    </row>
    <row r="598">
      <c r="S598" s="6"/>
    </row>
    <row r="599">
      <c r="S599" s="6"/>
    </row>
    <row r="600">
      <c r="S600" s="6"/>
    </row>
    <row r="601">
      <c r="S601" s="6"/>
    </row>
    <row r="602">
      <c r="S602" s="6"/>
    </row>
    <row r="603">
      <c r="S603" s="6"/>
    </row>
    <row r="604">
      <c r="S604" s="6"/>
    </row>
    <row r="605">
      <c r="S605" s="6"/>
    </row>
    <row r="606">
      <c r="S606" s="6"/>
    </row>
    <row r="607">
      <c r="S607" s="6"/>
    </row>
    <row r="608">
      <c r="S608" s="6"/>
    </row>
    <row r="609">
      <c r="S609" s="6"/>
    </row>
    <row r="610">
      <c r="S610" s="6"/>
    </row>
    <row r="611">
      <c r="S611" s="6"/>
    </row>
    <row r="612">
      <c r="S612" s="6"/>
    </row>
    <row r="613">
      <c r="S613" s="6"/>
    </row>
    <row r="614">
      <c r="S614" s="6"/>
    </row>
    <row r="615">
      <c r="S615" s="6"/>
    </row>
    <row r="616">
      <c r="S616" s="6"/>
    </row>
    <row r="617">
      <c r="S617" s="6"/>
    </row>
    <row r="618">
      <c r="S618" s="6"/>
    </row>
    <row r="619">
      <c r="S619" s="6"/>
    </row>
    <row r="620">
      <c r="S620" s="6"/>
    </row>
    <row r="621">
      <c r="S621" s="6"/>
    </row>
    <row r="622">
      <c r="S622" s="6"/>
    </row>
    <row r="623">
      <c r="S623" s="6"/>
    </row>
    <row r="624">
      <c r="S624" s="6"/>
    </row>
    <row r="625">
      <c r="S625" s="6"/>
    </row>
    <row r="626">
      <c r="S626" s="6"/>
    </row>
    <row r="627">
      <c r="S627" s="6"/>
    </row>
    <row r="628">
      <c r="S628" s="6"/>
    </row>
    <row r="629">
      <c r="S629" s="6"/>
    </row>
    <row r="630">
      <c r="S630" s="6"/>
    </row>
    <row r="631">
      <c r="S631" s="6"/>
    </row>
    <row r="632">
      <c r="S632" s="6"/>
    </row>
    <row r="633">
      <c r="S633" s="6"/>
    </row>
    <row r="634">
      <c r="S634" s="6"/>
    </row>
    <row r="635">
      <c r="S635" s="6"/>
    </row>
    <row r="636">
      <c r="S636" s="6"/>
    </row>
    <row r="637">
      <c r="S637" s="6"/>
    </row>
    <row r="638">
      <c r="S638" s="6"/>
    </row>
    <row r="639">
      <c r="S639" s="6"/>
    </row>
    <row r="640">
      <c r="S640" s="6"/>
    </row>
    <row r="641">
      <c r="S641" s="6"/>
    </row>
    <row r="642">
      <c r="S642" s="6"/>
    </row>
    <row r="643">
      <c r="S643" s="6"/>
    </row>
    <row r="644">
      <c r="S644" s="6"/>
    </row>
    <row r="645">
      <c r="S645" s="6"/>
    </row>
    <row r="646">
      <c r="S646" s="6"/>
    </row>
    <row r="647">
      <c r="S647" s="6"/>
    </row>
    <row r="648">
      <c r="S648" s="6"/>
    </row>
    <row r="649">
      <c r="S649" s="6"/>
    </row>
    <row r="650">
      <c r="S650" s="6"/>
    </row>
    <row r="651">
      <c r="S651" s="6"/>
    </row>
    <row r="652">
      <c r="S652" s="6"/>
    </row>
    <row r="653">
      <c r="S653" s="6"/>
    </row>
    <row r="654">
      <c r="S654" s="6"/>
    </row>
    <row r="655">
      <c r="S655" s="6"/>
    </row>
    <row r="656">
      <c r="S656" s="6"/>
    </row>
    <row r="657">
      <c r="S657" s="6"/>
    </row>
    <row r="658">
      <c r="S658" s="6"/>
    </row>
    <row r="659">
      <c r="S659" s="6"/>
    </row>
    <row r="660">
      <c r="S660" s="6"/>
    </row>
    <row r="661">
      <c r="S661" s="6"/>
    </row>
    <row r="662">
      <c r="S662" s="6"/>
    </row>
    <row r="663">
      <c r="S663" s="6"/>
    </row>
    <row r="664">
      <c r="S664" s="6"/>
    </row>
    <row r="665">
      <c r="S665" s="6"/>
    </row>
    <row r="666">
      <c r="S666" s="6"/>
    </row>
    <row r="667">
      <c r="S667" s="6"/>
    </row>
    <row r="668">
      <c r="S668" s="6"/>
    </row>
    <row r="669">
      <c r="S669" s="6"/>
    </row>
    <row r="670">
      <c r="S670" s="6"/>
    </row>
    <row r="671">
      <c r="S671" s="6"/>
    </row>
    <row r="672">
      <c r="S672" s="6"/>
    </row>
    <row r="673">
      <c r="S673" s="6"/>
    </row>
    <row r="674">
      <c r="S674" s="6"/>
    </row>
    <row r="675">
      <c r="S675" s="6"/>
    </row>
    <row r="676">
      <c r="S676" s="6"/>
    </row>
    <row r="677">
      <c r="S677" s="6"/>
    </row>
    <row r="678">
      <c r="S678" s="6"/>
    </row>
    <row r="679">
      <c r="S679" s="6"/>
    </row>
    <row r="680">
      <c r="S680" s="6"/>
    </row>
    <row r="681">
      <c r="S681" s="6"/>
    </row>
    <row r="682">
      <c r="S682" s="6"/>
    </row>
    <row r="683">
      <c r="S683" s="6"/>
    </row>
    <row r="684">
      <c r="S684" s="6"/>
    </row>
    <row r="685">
      <c r="S685" s="6"/>
    </row>
    <row r="686">
      <c r="S686" s="6"/>
    </row>
    <row r="687">
      <c r="S687" s="6"/>
    </row>
    <row r="688">
      <c r="S688" s="6"/>
    </row>
    <row r="689">
      <c r="S689" s="6"/>
    </row>
    <row r="690">
      <c r="S690" s="6"/>
    </row>
    <row r="691">
      <c r="S691" s="6"/>
    </row>
    <row r="692">
      <c r="S692" s="6"/>
    </row>
    <row r="693">
      <c r="S693" s="6"/>
    </row>
    <row r="694">
      <c r="S694" s="6"/>
    </row>
    <row r="695">
      <c r="S695" s="6"/>
    </row>
    <row r="696">
      <c r="S696" s="6"/>
    </row>
    <row r="697">
      <c r="S697" s="6"/>
    </row>
    <row r="698">
      <c r="S698" s="6"/>
    </row>
    <row r="699">
      <c r="S699" s="6"/>
    </row>
    <row r="700">
      <c r="S700" s="6"/>
    </row>
    <row r="701">
      <c r="S701" s="6"/>
    </row>
    <row r="702">
      <c r="S702" s="6"/>
    </row>
    <row r="703">
      <c r="S703" s="6"/>
    </row>
    <row r="704">
      <c r="S704" s="6"/>
    </row>
    <row r="705">
      <c r="S705" s="6"/>
    </row>
    <row r="706">
      <c r="S706" s="6"/>
    </row>
    <row r="707">
      <c r="S707" s="6"/>
    </row>
    <row r="708">
      <c r="S708" s="6"/>
    </row>
    <row r="709">
      <c r="S709" s="6"/>
    </row>
    <row r="710">
      <c r="S710" s="6"/>
    </row>
    <row r="711">
      <c r="S711" s="6"/>
    </row>
    <row r="712">
      <c r="S712" s="6"/>
    </row>
    <row r="713">
      <c r="S713" s="6"/>
    </row>
    <row r="714">
      <c r="S714" s="6"/>
    </row>
    <row r="715">
      <c r="S715" s="6"/>
    </row>
    <row r="716">
      <c r="S716" s="6"/>
    </row>
    <row r="717">
      <c r="S717" s="6"/>
    </row>
    <row r="718">
      <c r="S718" s="6"/>
    </row>
    <row r="719">
      <c r="S719" s="6"/>
    </row>
    <row r="720">
      <c r="S720" s="6"/>
    </row>
    <row r="721">
      <c r="S721" s="6"/>
    </row>
    <row r="722">
      <c r="S722" s="6"/>
    </row>
    <row r="723">
      <c r="S723" s="6"/>
    </row>
    <row r="724">
      <c r="S724" s="6"/>
    </row>
    <row r="725">
      <c r="S725" s="6"/>
    </row>
    <row r="726">
      <c r="S726" s="6"/>
    </row>
    <row r="727">
      <c r="S727" s="6"/>
    </row>
    <row r="728">
      <c r="S728" s="6"/>
    </row>
    <row r="729">
      <c r="S729" s="6"/>
    </row>
    <row r="730">
      <c r="S730" s="6"/>
    </row>
    <row r="731">
      <c r="S731" s="6"/>
    </row>
    <row r="732">
      <c r="S732" s="6"/>
    </row>
    <row r="733">
      <c r="S733" s="6"/>
    </row>
    <row r="734">
      <c r="S734" s="6"/>
    </row>
    <row r="735">
      <c r="S735" s="6"/>
    </row>
    <row r="736">
      <c r="S736" s="6"/>
    </row>
    <row r="737">
      <c r="S737" s="6"/>
    </row>
    <row r="738">
      <c r="S738" s="6"/>
    </row>
    <row r="739">
      <c r="S739" s="6"/>
    </row>
    <row r="740">
      <c r="S740" s="6"/>
    </row>
    <row r="741">
      <c r="S741" s="6"/>
    </row>
    <row r="742">
      <c r="S742" s="6"/>
    </row>
    <row r="743">
      <c r="S743" s="6"/>
    </row>
    <row r="744">
      <c r="S744" s="6"/>
    </row>
    <row r="745">
      <c r="S745" s="6"/>
    </row>
    <row r="746">
      <c r="S746" s="6"/>
    </row>
    <row r="747">
      <c r="S747" s="6"/>
    </row>
    <row r="748">
      <c r="S748" s="6"/>
    </row>
    <row r="749">
      <c r="S749" s="6"/>
    </row>
    <row r="750">
      <c r="S750" s="6"/>
    </row>
    <row r="751">
      <c r="S751" s="6"/>
    </row>
    <row r="752">
      <c r="S752" s="6"/>
    </row>
    <row r="753">
      <c r="S753" s="6"/>
    </row>
    <row r="754">
      <c r="S754" s="6"/>
    </row>
    <row r="755">
      <c r="S755" s="6"/>
    </row>
    <row r="756">
      <c r="S756" s="6"/>
    </row>
    <row r="757">
      <c r="S757" s="6"/>
    </row>
    <row r="758">
      <c r="S758" s="6"/>
    </row>
    <row r="759">
      <c r="S759" s="6"/>
    </row>
    <row r="760">
      <c r="S760" s="6"/>
    </row>
    <row r="761">
      <c r="S761" s="6"/>
    </row>
    <row r="762">
      <c r="S762" s="6"/>
    </row>
    <row r="763">
      <c r="S763" s="6"/>
    </row>
    <row r="764">
      <c r="S764" s="6"/>
    </row>
    <row r="765">
      <c r="S765" s="6"/>
    </row>
    <row r="766">
      <c r="S766" s="6"/>
    </row>
    <row r="767">
      <c r="S767" s="6"/>
    </row>
    <row r="768">
      <c r="S768" s="6"/>
    </row>
    <row r="769">
      <c r="S769" s="6"/>
    </row>
    <row r="770">
      <c r="S770" s="6"/>
    </row>
    <row r="771">
      <c r="S771" s="6"/>
    </row>
    <row r="772">
      <c r="S772" s="6"/>
    </row>
    <row r="773">
      <c r="S773" s="6"/>
    </row>
    <row r="774">
      <c r="S774" s="6"/>
    </row>
    <row r="775">
      <c r="S775" s="6"/>
    </row>
    <row r="776">
      <c r="S776" s="6"/>
    </row>
    <row r="777">
      <c r="S777" s="6"/>
    </row>
    <row r="778">
      <c r="S778" s="6"/>
    </row>
    <row r="779">
      <c r="S779" s="6"/>
    </row>
    <row r="780">
      <c r="S780" s="6"/>
    </row>
    <row r="781">
      <c r="S781" s="6"/>
    </row>
    <row r="782">
      <c r="S782" s="6"/>
    </row>
    <row r="783">
      <c r="S783" s="6"/>
    </row>
    <row r="784">
      <c r="S784" s="6"/>
    </row>
    <row r="785">
      <c r="S785" s="6"/>
    </row>
    <row r="786">
      <c r="S786" s="6"/>
    </row>
    <row r="787">
      <c r="S787" s="6"/>
    </row>
    <row r="788">
      <c r="S788" s="6"/>
    </row>
    <row r="789">
      <c r="S789" s="6"/>
    </row>
    <row r="790">
      <c r="S790" s="6"/>
    </row>
    <row r="791">
      <c r="S791" s="6"/>
    </row>
    <row r="792">
      <c r="S792" s="6"/>
    </row>
    <row r="793">
      <c r="S793" s="6"/>
    </row>
    <row r="794">
      <c r="S794" s="6"/>
    </row>
    <row r="795">
      <c r="S795" s="6"/>
    </row>
    <row r="796">
      <c r="S796" s="6"/>
    </row>
    <row r="797">
      <c r="S797" s="6"/>
    </row>
    <row r="798">
      <c r="S798" s="6"/>
    </row>
    <row r="799">
      <c r="S799" s="6"/>
    </row>
    <row r="800">
      <c r="S800" s="6"/>
    </row>
    <row r="801">
      <c r="S801" s="6"/>
    </row>
    <row r="802">
      <c r="S802" s="6"/>
    </row>
    <row r="803">
      <c r="S803" s="6"/>
    </row>
    <row r="804">
      <c r="S804" s="6"/>
    </row>
    <row r="805">
      <c r="S805" s="6"/>
    </row>
    <row r="806">
      <c r="S806" s="6"/>
    </row>
    <row r="807">
      <c r="S807" s="6"/>
    </row>
    <row r="808">
      <c r="S808" s="6"/>
    </row>
    <row r="809">
      <c r="S809" s="6"/>
    </row>
    <row r="810">
      <c r="S810" s="6"/>
    </row>
    <row r="811">
      <c r="S811" s="6"/>
    </row>
    <row r="812">
      <c r="S812" s="6"/>
    </row>
    <row r="813">
      <c r="S813" s="6"/>
    </row>
    <row r="814">
      <c r="S814" s="6"/>
    </row>
    <row r="815">
      <c r="S815" s="6"/>
    </row>
    <row r="816">
      <c r="S816" s="6"/>
    </row>
    <row r="817">
      <c r="S817" s="6"/>
    </row>
    <row r="818">
      <c r="S818" s="6"/>
    </row>
    <row r="819">
      <c r="S819" s="6"/>
    </row>
    <row r="820">
      <c r="S820" s="6"/>
    </row>
    <row r="821">
      <c r="S821" s="6"/>
    </row>
    <row r="822">
      <c r="S822" s="6"/>
    </row>
    <row r="823">
      <c r="S823" s="6"/>
    </row>
    <row r="824">
      <c r="S824" s="6"/>
    </row>
    <row r="825">
      <c r="S825" s="6"/>
    </row>
    <row r="826">
      <c r="S826" s="6"/>
    </row>
    <row r="827">
      <c r="S827" s="6"/>
    </row>
    <row r="828">
      <c r="S828" s="6"/>
    </row>
    <row r="829">
      <c r="S829" s="6"/>
    </row>
    <row r="830">
      <c r="S830" s="6"/>
    </row>
    <row r="831">
      <c r="S831" s="6"/>
    </row>
    <row r="832">
      <c r="S832" s="6"/>
    </row>
    <row r="833">
      <c r="S833" s="6"/>
    </row>
    <row r="834">
      <c r="S834" s="6"/>
    </row>
    <row r="835">
      <c r="S835" s="6"/>
    </row>
    <row r="836">
      <c r="S836" s="6"/>
    </row>
    <row r="837">
      <c r="S837" s="6"/>
    </row>
    <row r="838">
      <c r="S838" s="6"/>
    </row>
    <row r="839">
      <c r="S839" s="6"/>
    </row>
    <row r="840">
      <c r="S840" s="6"/>
    </row>
    <row r="841">
      <c r="S841" s="6"/>
    </row>
    <row r="842">
      <c r="S842" s="6"/>
    </row>
    <row r="843">
      <c r="S843" s="6"/>
    </row>
    <row r="844">
      <c r="S844" s="6"/>
    </row>
    <row r="845">
      <c r="S845" s="6"/>
    </row>
    <row r="846">
      <c r="S846" s="6"/>
    </row>
    <row r="847">
      <c r="S847" s="6"/>
    </row>
    <row r="848">
      <c r="S848" s="6"/>
    </row>
    <row r="849">
      <c r="S849" s="6"/>
    </row>
    <row r="850">
      <c r="S850" s="6"/>
    </row>
    <row r="851">
      <c r="S851" s="6"/>
    </row>
    <row r="852">
      <c r="S852" s="6"/>
    </row>
    <row r="853">
      <c r="S853" s="6"/>
    </row>
    <row r="854">
      <c r="S854" s="6"/>
    </row>
    <row r="855">
      <c r="S855" s="6"/>
    </row>
    <row r="856">
      <c r="S856" s="6"/>
    </row>
    <row r="857">
      <c r="S857" s="6"/>
    </row>
    <row r="858">
      <c r="S858" s="6"/>
    </row>
    <row r="859">
      <c r="S859" s="6"/>
    </row>
    <row r="860">
      <c r="S860" s="6"/>
    </row>
    <row r="861">
      <c r="S861" s="6"/>
    </row>
    <row r="862">
      <c r="S862" s="6"/>
    </row>
    <row r="863">
      <c r="S863" s="6"/>
    </row>
    <row r="864">
      <c r="S864" s="6"/>
    </row>
    <row r="865">
      <c r="S865" s="6"/>
    </row>
    <row r="866">
      <c r="S866" s="6"/>
    </row>
    <row r="867">
      <c r="S867" s="6"/>
    </row>
    <row r="868">
      <c r="S868" s="6"/>
    </row>
    <row r="869">
      <c r="S869" s="6"/>
    </row>
    <row r="870">
      <c r="S870" s="6"/>
    </row>
    <row r="871">
      <c r="S871" s="6"/>
    </row>
    <row r="872">
      <c r="S872" s="6"/>
    </row>
    <row r="873">
      <c r="S873" s="6"/>
    </row>
    <row r="874">
      <c r="S874" s="6"/>
    </row>
    <row r="875">
      <c r="S875" s="6"/>
    </row>
    <row r="876">
      <c r="S876" s="6"/>
    </row>
    <row r="877">
      <c r="S877" s="6"/>
    </row>
    <row r="878">
      <c r="S878" s="6"/>
    </row>
    <row r="879">
      <c r="S879" s="6"/>
    </row>
    <row r="880">
      <c r="S880" s="6"/>
    </row>
    <row r="881">
      <c r="S881" s="6"/>
    </row>
    <row r="882">
      <c r="S882" s="6"/>
    </row>
    <row r="883">
      <c r="S883" s="6"/>
    </row>
    <row r="884">
      <c r="S884" s="6"/>
    </row>
    <row r="885">
      <c r="S885" s="6"/>
    </row>
    <row r="886">
      <c r="S886" s="6"/>
    </row>
    <row r="887">
      <c r="S887" s="6"/>
    </row>
    <row r="888">
      <c r="S888" s="6"/>
    </row>
    <row r="889">
      <c r="S889" s="6"/>
    </row>
    <row r="890">
      <c r="S890" s="6"/>
    </row>
    <row r="891">
      <c r="S891" s="6"/>
    </row>
    <row r="892">
      <c r="S892" s="6"/>
    </row>
    <row r="893">
      <c r="S893" s="6"/>
    </row>
    <row r="894">
      <c r="S894" s="6"/>
    </row>
    <row r="895">
      <c r="S895" s="6"/>
    </row>
    <row r="896">
      <c r="S896" s="6"/>
    </row>
    <row r="897">
      <c r="S897" s="6"/>
    </row>
    <row r="898">
      <c r="S898" s="6"/>
    </row>
    <row r="899">
      <c r="S899" s="6"/>
    </row>
    <row r="900">
      <c r="S900" s="6"/>
    </row>
    <row r="901">
      <c r="S901" s="6"/>
    </row>
    <row r="902">
      <c r="S902" s="6"/>
    </row>
    <row r="903">
      <c r="S903" s="6"/>
    </row>
    <row r="904">
      <c r="S904" s="6"/>
    </row>
    <row r="905">
      <c r="S905" s="6"/>
    </row>
    <row r="906">
      <c r="S906" s="6"/>
    </row>
    <row r="907">
      <c r="S907" s="6"/>
    </row>
    <row r="908">
      <c r="S908" s="6"/>
    </row>
    <row r="909">
      <c r="S909" s="6"/>
    </row>
    <row r="910">
      <c r="S910" s="6"/>
    </row>
    <row r="911">
      <c r="S911" s="6"/>
    </row>
    <row r="912">
      <c r="S912" s="6"/>
    </row>
    <row r="913">
      <c r="S913" s="6"/>
    </row>
    <row r="914">
      <c r="S914" s="6"/>
    </row>
    <row r="915">
      <c r="S915" s="6"/>
    </row>
    <row r="916">
      <c r="S916" s="6"/>
    </row>
    <row r="917">
      <c r="S917" s="6"/>
    </row>
    <row r="918">
      <c r="S918" s="6"/>
    </row>
    <row r="919">
      <c r="S919" s="6"/>
    </row>
    <row r="920">
      <c r="S920" s="6"/>
    </row>
    <row r="921">
      <c r="S921" s="6"/>
    </row>
    <row r="922">
      <c r="S922" s="6"/>
    </row>
    <row r="923">
      <c r="S923" s="6"/>
    </row>
    <row r="924">
      <c r="S924" s="6"/>
    </row>
    <row r="925">
      <c r="S925" s="6"/>
    </row>
    <row r="926">
      <c r="S926" s="6"/>
    </row>
    <row r="927">
      <c r="S927" s="6"/>
    </row>
    <row r="928">
      <c r="S928" s="6"/>
    </row>
    <row r="929">
      <c r="S929" s="6"/>
    </row>
    <row r="930">
      <c r="S930" s="6"/>
    </row>
    <row r="931">
      <c r="S931" s="6"/>
    </row>
    <row r="932">
      <c r="S932" s="6"/>
    </row>
    <row r="933">
      <c r="S933" s="6"/>
    </row>
    <row r="934">
      <c r="S934" s="6"/>
    </row>
    <row r="935">
      <c r="S935" s="6"/>
    </row>
    <row r="936">
      <c r="S936" s="6"/>
    </row>
    <row r="937">
      <c r="S937" s="6"/>
    </row>
    <row r="938">
      <c r="S938" s="6"/>
    </row>
    <row r="939">
      <c r="S939" s="6"/>
    </row>
    <row r="940">
      <c r="S940" s="6"/>
    </row>
    <row r="941">
      <c r="S941" s="6"/>
    </row>
    <row r="942">
      <c r="S942" s="6"/>
    </row>
    <row r="943">
      <c r="S943" s="6"/>
    </row>
    <row r="944">
      <c r="S944" s="6"/>
    </row>
    <row r="945">
      <c r="S945" s="6"/>
    </row>
    <row r="946">
      <c r="S946" s="6"/>
    </row>
    <row r="947">
      <c r="S947" s="6"/>
    </row>
    <row r="948">
      <c r="S948" s="6"/>
    </row>
    <row r="949">
      <c r="S949" s="6"/>
    </row>
    <row r="950">
      <c r="S950" s="6"/>
    </row>
    <row r="951">
      <c r="S951" s="6"/>
    </row>
    <row r="952">
      <c r="S952" s="6"/>
    </row>
    <row r="953">
      <c r="S953" s="6"/>
    </row>
    <row r="954">
      <c r="S954" s="6"/>
    </row>
    <row r="955">
      <c r="S955" s="6"/>
    </row>
    <row r="956">
      <c r="S956" s="6"/>
    </row>
    <row r="957">
      <c r="S957" s="6"/>
    </row>
    <row r="958">
      <c r="S958" s="6"/>
    </row>
    <row r="959">
      <c r="S959" s="6"/>
    </row>
    <row r="960">
      <c r="S960" s="6"/>
    </row>
    <row r="961">
      <c r="S961" s="6"/>
    </row>
    <row r="962">
      <c r="S962" s="6"/>
    </row>
    <row r="963">
      <c r="S963" s="6"/>
    </row>
    <row r="964">
      <c r="S964" s="6"/>
    </row>
    <row r="965">
      <c r="S965" s="6"/>
    </row>
    <row r="966">
      <c r="S966" s="6"/>
    </row>
    <row r="967">
      <c r="S967" s="6"/>
    </row>
    <row r="968">
      <c r="S968" s="6"/>
    </row>
    <row r="969">
      <c r="S969" s="6"/>
    </row>
    <row r="970">
      <c r="S970" s="6"/>
    </row>
    <row r="971">
      <c r="S971" s="6"/>
    </row>
    <row r="972">
      <c r="S972" s="6"/>
    </row>
    <row r="973">
      <c r="S973" s="6"/>
    </row>
    <row r="974">
      <c r="S974" s="6"/>
    </row>
    <row r="975">
      <c r="S975" s="6"/>
    </row>
    <row r="976">
      <c r="S976" s="6"/>
    </row>
    <row r="977">
      <c r="S977" s="6"/>
    </row>
    <row r="978">
      <c r="S978" s="6"/>
    </row>
    <row r="979">
      <c r="S979" s="6"/>
    </row>
    <row r="980">
      <c r="S980" s="6"/>
    </row>
    <row r="981">
      <c r="S981" s="6"/>
    </row>
    <row r="982">
      <c r="S982" s="6"/>
    </row>
    <row r="983">
      <c r="S983" s="6"/>
    </row>
    <row r="984">
      <c r="S984" s="6"/>
    </row>
    <row r="985">
      <c r="S985" s="6"/>
    </row>
    <row r="986">
      <c r="S986" s="6"/>
    </row>
    <row r="987">
      <c r="S987" s="6"/>
    </row>
    <row r="988">
      <c r="S988" s="6"/>
    </row>
    <row r="989">
      <c r="S989" s="6"/>
    </row>
    <row r="990">
      <c r="S990" s="6"/>
    </row>
    <row r="991">
      <c r="S991" s="6"/>
    </row>
    <row r="992">
      <c r="S992" s="6"/>
    </row>
    <row r="993">
      <c r="S993" s="6"/>
    </row>
    <row r="994">
      <c r="S994" s="6"/>
    </row>
    <row r="995">
      <c r="S995" s="6"/>
    </row>
    <row r="996">
      <c r="S996" s="6"/>
    </row>
    <row r="997">
      <c r="S997" s="6"/>
    </row>
    <row r="998">
      <c r="S998" s="6"/>
    </row>
    <row r="999">
      <c r="S999" s="6"/>
    </row>
    <row r="1000">
      <c r="S1000" s="6"/>
    </row>
  </sheetData>
  <conditionalFormatting sqref="S24:V27">
    <cfRule type="cellIs" dxfId="4" priority="1" stopIfTrue="1" operator="equal">
      <formula>"Defend"</formula>
    </cfRule>
  </conditionalFormatting>
  <conditionalFormatting sqref="S24:V27">
    <cfRule type="cellIs" dxfId="5" priority="2" stopIfTrue="1" operator="equal">
      <formula>"Battleground"</formula>
    </cfRule>
  </conditionalFormatting>
  <conditionalFormatting sqref="S24:V27">
    <cfRule type="cellIs" dxfId="6" priority="3" stopIfTrue="1" operator="equal">
      <formula>"Expand"</formula>
    </cfRule>
  </conditionalFormatting>
  <conditionalFormatting sqref="S24:V27">
    <cfRule type="cellIs" dxfId="7" priority="4" stopIfTrue="1" operator="equal">
      <formula>"Long Shot"</formula>
    </cfRule>
  </conditionalFormatting>
  <conditionalFormatting sqref="S3:S22">
    <cfRule type="colorScale" priority="5">
      <colorScale>
        <cfvo type="min"/>
        <cfvo type="max"/>
        <color rgb="FFFFFFFF"/>
        <color rgb="FFFFD666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15.88"/>
    <col customWidth="1" min="17" max="17" width="15.75"/>
    <col customWidth="1" min="18" max="18" width="19.0"/>
    <col customWidth="1" min="19" max="19" width="20.5"/>
  </cols>
  <sheetData>
    <row r="1">
      <c r="A1" s="84" t="s">
        <v>413</v>
      </c>
    </row>
    <row r="2">
      <c r="A2" s="85"/>
    </row>
    <row r="3">
      <c r="A3" s="86" t="s">
        <v>7</v>
      </c>
      <c r="B3" s="86" t="s">
        <v>8</v>
      </c>
      <c r="C3" s="86" t="s">
        <v>36</v>
      </c>
      <c r="D3" s="86" t="s">
        <v>9</v>
      </c>
      <c r="E3" s="86" t="s">
        <v>13</v>
      </c>
      <c r="F3" s="86" t="s">
        <v>15</v>
      </c>
      <c r="G3" s="86" t="s">
        <v>414</v>
      </c>
      <c r="H3" s="86" t="s">
        <v>415</v>
      </c>
      <c r="I3" s="86" t="s">
        <v>18</v>
      </c>
      <c r="J3" s="86" t="s">
        <v>416</v>
      </c>
      <c r="K3" s="86" t="s">
        <v>417</v>
      </c>
      <c r="L3" s="86" t="s">
        <v>418</v>
      </c>
      <c r="M3" s="87" t="s">
        <v>419</v>
      </c>
      <c r="N3" s="86" t="s">
        <v>40</v>
      </c>
      <c r="O3" s="86" t="s">
        <v>20</v>
      </c>
      <c r="P3" s="88" t="s">
        <v>420</v>
      </c>
      <c r="Q3" s="86" t="s">
        <v>28</v>
      </c>
      <c r="R3" s="86" t="s">
        <v>421</v>
      </c>
      <c r="S3" s="86" t="s">
        <v>422</v>
      </c>
    </row>
    <row r="4">
      <c r="A4" s="89">
        <v>1.0</v>
      </c>
      <c r="B4" s="90" t="s">
        <v>59</v>
      </c>
      <c r="C4" s="90" t="s">
        <v>60</v>
      </c>
      <c r="D4" s="90" t="s">
        <v>61</v>
      </c>
      <c r="E4" s="90" t="str">
        <f>'2017 Assembly'!G4</f>
        <v>BJP</v>
      </c>
      <c r="F4" s="90" t="str">
        <f>'2022 Assembly'!G4:G120</f>
        <v>INC</v>
      </c>
      <c r="G4" s="90" t="str">
        <f t="shared" ref="G4:G120" si="1">IF(E4=F4,"NO","YES")</f>
        <v>YES</v>
      </c>
      <c r="H4" s="89">
        <f>'2017 Assembly'!O4</f>
        <v>15.04</v>
      </c>
      <c r="I4" s="89">
        <f>'2022 Assembly'!O4</f>
        <v>3.61</v>
      </c>
      <c r="J4" s="89">
        <f t="shared" ref="J4:J120" si="2">I4 - H4</f>
        <v>-11.43</v>
      </c>
      <c r="K4" s="89">
        <f>'2017 Assembly'!P4</f>
        <v>78.21</v>
      </c>
      <c r="L4" s="91">
        <f>'2022 Assembly'!P4</f>
        <v>75.94</v>
      </c>
      <c r="M4" s="92">
        <f t="shared" ref="M4:M120" si="3">L4 - K4</f>
        <v>-2.27</v>
      </c>
      <c r="N4" s="93" t="str">
        <f>'LS Segments'!G3</f>
        <v>BJP</v>
      </c>
      <c r="O4" s="94" t="str">
        <f>'LS Segments'!K3</f>
        <v>BJP</v>
      </c>
      <c r="P4" s="93" t="s">
        <v>45</v>
      </c>
      <c r="Q4" s="95"/>
      <c r="R4" s="93" t="s">
        <v>424</v>
      </c>
      <c r="S4" s="96" t="s">
        <v>425</v>
      </c>
    </row>
    <row r="5">
      <c r="A5" s="89">
        <v>2.0</v>
      </c>
      <c r="B5" s="90" t="s">
        <v>216</v>
      </c>
      <c r="C5" s="90" t="s">
        <v>60</v>
      </c>
      <c r="D5" s="90" t="s">
        <v>61</v>
      </c>
      <c r="E5" s="90" t="str">
        <f>'2017 Assembly'!G5</f>
        <v>INC</v>
      </c>
      <c r="F5" s="90" t="str">
        <f>'2022 Assembly'!G5:G121</f>
        <v>AAP</v>
      </c>
      <c r="G5" s="90" t="str">
        <f t="shared" si="1"/>
        <v>YES</v>
      </c>
      <c r="H5" s="89">
        <f>'2017 Assembly'!O5</f>
        <v>21.05</v>
      </c>
      <c r="I5" s="89">
        <f>'2022 Assembly'!O5</f>
        <v>0.88</v>
      </c>
      <c r="J5" s="89">
        <f t="shared" si="2"/>
        <v>-20.17</v>
      </c>
      <c r="K5" s="89">
        <f>'2017 Assembly'!P5</f>
        <v>74.94</v>
      </c>
      <c r="L5" s="91">
        <f>'2022 Assembly'!P5</f>
        <v>73.61</v>
      </c>
      <c r="M5" s="92">
        <f t="shared" si="3"/>
        <v>-1.33</v>
      </c>
      <c r="N5" s="93" t="str">
        <f>'LS Segments'!G4</f>
        <v>BJP</v>
      </c>
      <c r="O5" s="94" t="str">
        <f>'LS Segments'!K4</f>
        <v>BJP</v>
      </c>
      <c r="P5" s="93" t="s">
        <v>32</v>
      </c>
      <c r="Q5" s="95"/>
      <c r="R5" s="93" t="s">
        <v>424</v>
      </c>
      <c r="S5" s="96" t="s">
        <v>425</v>
      </c>
    </row>
    <row r="6">
      <c r="A6" s="89">
        <v>3.0</v>
      </c>
      <c r="B6" s="90" t="s">
        <v>60</v>
      </c>
      <c r="C6" s="90" t="s">
        <v>60</v>
      </c>
      <c r="D6" s="90" t="s">
        <v>61</v>
      </c>
      <c r="E6" s="90" t="str">
        <f>'2017 Assembly'!G6</f>
        <v>INC</v>
      </c>
      <c r="F6" s="90" t="str">
        <f>'2022 Assembly'!G6:G122</f>
        <v>BJP</v>
      </c>
      <c r="G6" s="90" t="str">
        <f t="shared" si="1"/>
        <v>YES</v>
      </c>
      <c r="H6" s="89">
        <f>'2017 Assembly'!O6</f>
        <v>10.16</v>
      </c>
      <c r="I6" s="89">
        <f>'2022 Assembly'!O6</f>
        <v>6.88</v>
      </c>
      <c r="J6" s="89">
        <f t="shared" si="2"/>
        <v>-3.28</v>
      </c>
      <c r="K6" s="89">
        <f>'2017 Assembly'!P6</f>
        <v>75.51</v>
      </c>
      <c r="L6" s="91">
        <f>'2022 Assembly'!P6</f>
        <v>73.82</v>
      </c>
      <c r="M6" s="92">
        <f t="shared" si="3"/>
        <v>-1.69</v>
      </c>
      <c r="N6" s="93" t="str">
        <f>'LS Segments'!G5</f>
        <v>BJP</v>
      </c>
      <c r="O6" s="94" t="str">
        <f>'LS Segments'!K5</f>
        <v>BJP</v>
      </c>
      <c r="P6" s="93" t="s">
        <v>53</v>
      </c>
      <c r="Q6" s="95"/>
      <c r="R6" s="93" t="s">
        <v>424</v>
      </c>
      <c r="S6" s="96" t="s">
        <v>428</v>
      </c>
    </row>
    <row r="7">
      <c r="A7" s="89">
        <v>4.0</v>
      </c>
      <c r="B7" s="90" t="s">
        <v>244</v>
      </c>
      <c r="C7" s="90" t="s">
        <v>244</v>
      </c>
      <c r="D7" s="90" t="s">
        <v>61</v>
      </c>
      <c r="E7" s="90" t="str">
        <f>'2017 Assembly'!G7</f>
        <v>INC</v>
      </c>
      <c r="F7" s="90" t="str">
        <f>'2022 Assembly'!G7:G123</f>
        <v>INC</v>
      </c>
      <c r="G7" s="90" t="str">
        <f t="shared" si="1"/>
        <v>NO</v>
      </c>
      <c r="H7" s="89">
        <f>'2017 Assembly'!O7</f>
        <v>24.79</v>
      </c>
      <c r="I7" s="89">
        <f>'2022 Assembly'!O7</f>
        <v>5.94</v>
      </c>
      <c r="J7" s="89">
        <f t="shared" si="2"/>
        <v>-18.85</v>
      </c>
      <c r="K7" s="89">
        <f>'2017 Assembly'!P7</f>
        <v>75.23</v>
      </c>
      <c r="L7" s="91">
        <f>'2022 Assembly'!P7</f>
        <v>72.36</v>
      </c>
      <c r="M7" s="92">
        <f t="shared" si="3"/>
        <v>-2.87</v>
      </c>
      <c r="N7" s="93" t="str">
        <f>'LS Segments'!G6</f>
        <v>BJP</v>
      </c>
      <c r="O7" s="94" t="str">
        <f>'LS Segments'!K6</f>
        <v>INC</v>
      </c>
      <c r="P7" s="93" t="s">
        <v>45</v>
      </c>
      <c r="Q7" s="95"/>
      <c r="R7" s="93" t="s">
        <v>429</v>
      </c>
      <c r="S7" s="96" t="s">
        <v>428</v>
      </c>
    </row>
    <row r="8">
      <c r="A8" s="89">
        <v>5.0</v>
      </c>
      <c r="B8" s="90" t="s">
        <v>249</v>
      </c>
      <c r="C8" s="90" t="s">
        <v>244</v>
      </c>
      <c r="D8" s="90" t="s">
        <v>61</v>
      </c>
      <c r="E8" s="90" t="str">
        <f>'2017 Assembly'!G8</f>
        <v>INC</v>
      </c>
      <c r="F8" s="90" t="str">
        <f>'2022 Assembly'!G8:G124</f>
        <v>INC</v>
      </c>
      <c r="G8" s="90" t="str">
        <f t="shared" si="1"/>
        <v>NO</v>
      </c>
      <c r="H8" s="89">
        <f>'2017 Assembly'!O8</f>
        <v>24.69</v>
      </c>
      <c r="I8" s="89">
        <f>'2022 Assembly'!O8</f>
        <v>0.81</v>
      </c>
      <c r="J8" s="89">
        <f t="shared" si="2"/>
        <v>-23.88</v>
      </c>
      <c r="K8" s="89">
        <f>'2017 Assembly'!P8</f>
        <v>71.13</v>
      </c>
      <c r="L8" s="91">
        <f>'2022 Assembly'!P8</f>
        <v>71.03</v>
      </c>
      <c r="M8" s="92">
        <f t="shared" si="3"/>
        <v>-0.1</v>
      </c>
      <c r="N8" s="93" t="str">
        <f>'LS Segments'!G7</f>
        <v>BJP</v>
      </c>
      <c r="O8" s="94" t="str">
        <f>'LS Segments'!K7</f>
        <v>INC</v>
      </c>
      <c r="P8" s="93" t="s">
        <v>45</v>
      </c>
      <c r="Q8" s="95"/>
      <c r="R8" s="93" t="s">
        <v>429</v>
      </c>
      <c r="S8" s="96" t="s">
        <v>428</v>
      </c>
    </row>
    <row r="9">
      <c r="A9" s="89">
        <v>6.0</v>
      </c>
      <c r="B9" s="90" t="s">
        <v>253</v>
      </c>
      <c r="C9" s="90" t="s">
        <v>244</v>
      </c>
      <c r="D9" s="90" t="s">
        <v>61</v>
      </c>
      <c r="E9" s="90" t="str">
        <f>'2017 Assembly'!G9</f>
        <v>INC</v>
      </c>
      <c r="F9" s="90" t="str">
        <f>'2022 Assembly'!G9:G125</f>
        <v>INC</v>
      </c>
      <c r="G9" s="90" t="str">
        <f t="shared" si="1"/>
        <v>NO</v>
      </c>
      <c r="H9" s="89">
        <f>'2017 Assembly'!O9</f>
        <v>8.97</v>
      </c>
      <c r="I9" s="89">
        <f>'2022 Assembly'!O9</f>
        <v>5.42</v>
      </c>
      <c r="J9" s="89">
        <f t="shared" si="2"/>
        <v>-3.55</v>
      </c>
      <c r="K9" s="89">
        <f>'2017 Assembly'!P9</f>
        <v>74.23</v>
      </c>
      <c r="L9" s="91">
        <f>'2022 Assembly'!P9</f>
        <v>72.17</v>
      </c>
      <c r="M9" s="92">
        <f t="shared" si="3"/>
        <v>-2.06</v>
      </c>
      <c r="N9" s="93" t="str">
        <f>'LS Segments'!G8</f>
        <v>BJP</v>
      </c>
      <c r="O9" s="94" t="str">
        <f>'LS Segments'!K8</f>
        <v>INC</v>
      </c>
      <c r="P9" s="93" t="s">
        <v>45</v>
      </c>
      <c r="Q9" s="95"/>
      <c r="R9" s="93" t="s">
        <v>429</v>
      </c>
      <c r="S9" s="96" t="s">
        <v>428</v>
      </c>
    </row>
    <row r="10">
      <c r="A10" s="89">
        <v>7.0</v>
      </c>
      <c r="B10" s="90" t="s">
        <v>256</v>
      </c>
      <c r="C10" s="90" t="s">
        <v>244</v>
      </c>
      <c r="D10" s="90" t="s">
        <v>61</v>
      </c>
      <c r="E10" s="90" t="str">
        <f>'2017 Assembly'!G10</f>
        <v>SAD</v>
      </c>
      <c r="F10" s="90" t="str">
        <f>'2022 Assembly'!G10:G126</f>
        <v>AAP</v>
      </c>
      <c r="G10" s="90" t="str">
        <f t="shared" si="1"/>
        <v>YES</v>
      </c>
      <c r="H10" s="89">
        <f>'2017 Assembly'!O10</f>
        <v>0.4</v>
      </c>
      <c r="I10" s="89">
        <f>'2022 Assembly'!O10</f>
        <v>22.44</v>
      </c>
      <c r="J10" s="89">
        <f t="shared" si="2"/>
        <v>22.04</v>
      </c>
      <c r="K10" s="89">
        <f>'2017 Assembly'!P10</f>
        <v>69.43</v>
      </c>
      <c r="L10" s="91">
        <f>'2022 Assembly'!P10</f>
        <v>67.22</v>
      </c>
      <c r="M10" s="92">
        <f t="shared" si="3"/>
        <v>-2.21</v>
      </c>
      <c r="N10" s="93" t="str">
        <f>'LS Segments'!G9</f>
        <v>BJP</v>
      </c>
      <c r="O10" s="94" t="str">
        <f>'LS Segments'!K9</f>
        <v>INC</v>
      </c>
      <c r="P10" s="93" t="s">
        <v>32</v>
      </c>
      <c r="Q10" s="95"/>
      <c r="R10" s="93" t="s">
        <v>424</v>
      </c>
      <c r="S10" s="96" t="s">
        <v>434</v>
      </c>
    </row>
    <row r="11">
      <c r="A11" s="89">
        <v>8.0</v>
      </c>
      <c r="B11" s="90" t="s">
        <v>260</v>
      </c>
      <c r="C11" s="90" t="s">
        <v>244</v>
      </c>
      <c r="D11" s="90" t="s">
        <v>61</v>
      </c>
      <c r="E11" s="90" t="str">
        <f>'2017 Assembly'!G11</f>
        <v>INC</v>
      </c>
      <c r="F11" s="90" t="str">
        <f>'2022 Assembly'!G11:G127</f>
        <v>AAP</v>
      </c>
      <c r="G11" s="90" t="str">
        <f t="shared" si="1"/>
        <v>YES</v>
      </c>
      <c r="H11" s="89">
        <f>'2017 Assembly'!O11</f>
        <v>14.6</v>
      </c>
      <c r="I11" s="89">
        <f>'2022 Assembly'!O11</f>
        <v>13.78</v>
      </c>
      <c r="J11" s="89">
        <f t="shared" si="2"/>
        <v>-0.82</v>
      </c>
      <c r="K11" s="89">
        <f>'2017 Assembly'!P11</f>
        <v>72.56</v>
      </c>
      <c r="L11" s="91">
        <f>'2022 Assembly'!P11</f>
        <v>68.69</v>
      </c>
      <c r="M11" s="92">
        <f t="shared" si="3"/>
        <v>-3.87</v>
      </c>
      <c r="N11" s="93" t="str">
        <f>'LS Segments'!G10</f>
        <v>INC</v>
      </c>
      <c r="O11" s="94" t="str">
        <f>'LS Segments'!K10</f>
        <v>INC</v>
      </c>
      <c r="P11" s="93" t="s">
        <v>32</v>
      </c>
      <c r="Q11" s="95"/>
      <c r="R11" s="93" t="s">
        <v>424</v>
      </c>
      <c r="S11" s="96" t="s">
        <v>434</v>
      </c>
    </row>
    <row r="12">
      <c r="A12" s="89">
        <v>9.0</v>
      </c>
      <c r="B12" s="90" t="s">
        <v>263</v>
      </c>
      <c r="C12" s="90" t="s">
        <v>244</v>
      </c>
      <c r="D12" s="90" t="s">
        <v>61</v>
      </c>
      <c r="E12" s="90" t="str">
        <f>'2017 Assembly'!G12</f>
        <v>INC</v>
      </c>
      <c r="F12" s="90" t="str">
        <f>'2022 Assembly'!G12:G128</f>
        <v>INC</v>
      </c>
      <c r="G12" s="90" t="str">
        <f t="shared" si="1"/>
        <v>NO</v>
      </c>
      <c r="H12" s="89">
        <f>'2017 Assembly'!O12</f>
        <v>1.62</v>
      </c>
      <c r="I12" s="89">
        <f>'2022 Assembly'!O12</f>
        <v>4.33</v>
      </c>
      <c r="J12" s="89">
        <f t="shared" si="2"/>
        <v>2.71</v>
      </c>
      <c r="K12" s="89">
        <f>'2017 Assembly'!P12</f>
        <v>74.74</v>
      </c>
      <c r="L12" s="91">
        <f>'2022 Assembly'!P12</f>
        <v>72.43</v>
      </c>
      <c r="M12" s="92">
        <f t="shared" si="3"/>
        <v>-2.31</v>
      </c>
      <c r="N12" s="93" t="str">
        <f>'LS Segments'!G11</f>
        <v>INC</v>
      </c>
      <c r="O12" s="94" t="str">
        <f>'LS Segments'!K11</f>
        <v>INC</v>
      </c>
      <c r="P12" s="93" t="s">
        <v>45</v>
      </c>
      <c r="Q12" s="95"/>
      <c r="R12" s="93" t="s">
        <v>429</v>
      </c>
      <c r="S12" s="96" t="s">
        <v>428</v>
      </c>
    </row>
    <row r="13">
      <c r="A13" s="89">
        <v>10.0</v>
      </c>
      <c r="B13" s="90" t="s">
        <v>252</v>
      </c>
      <c r="C13" s="90" t="s">
        <v>244</v>
      </c>
      <c r="D13" s="90" t="s">
        <v>61</v>
      </c>
      <c r="E13" s="90" t="str">
        <f>'2017 Assembly'!G13</f>
        <v>INC</v>
      </c>
      <c r="F13" s="90" t="str">
        <f>'2022 Assembly'!G13:G129</f>
        <v>INC</v>
      </c>
      <c r="G13" s="90" t="str">
        <f t="shared" si="1"/>
        <v>NO</v>
      </c>
      <c r="H13" s="89">
        <f>'2017 Assembly'!O13</f>
        <v>0.85</v>
      </c>
      <c r="I13" s="89">
        <f>'2022 Assembly'!O13</f>
        <v>0.33</v>
      </c>
      <c r="J13" s="89">
        <f t="shared" si="2"/>
        <v>-0.52</v>
      </c>
      <c r="K13" s="89">
        <f>'2017 Assembly'!P13</f>
        <v>76.49</v>
      </c>
      <c r="L13" s="91">
        <f>'2022 Assembly'!P13</f>
        <v>73.25</v>
      </c>
      <c r="M13" s="92">
        <f t="shared" si="3"/>
        <v>-3.24</v>
      </c>
      <c r="N13" s="93" t="str">
        <f>'LS Segments'!G12</f>
        <v>INC</v>
      </c>
      <c r="O13" s="94" t="str">
        <f>'LS Segments'!K12</f>
        <v>INC</v>
      </c>
      <c r="P13" s="93" t="s">
        <v>32</v>
      </c>
      <c r="Q13" s="99" t="s">
        <v>269</v>
      </c>
      <c r="R13" s="93" t="s">
        <v>443</v>
      </c>
      <c r="S13" s="96" t="s">
        <v>428</v>
      </c>
    </row>
    <row r="14">
      <c r="A14" s="89">
        <v>11.0</v>
      </c>
      <c r="B14" s="90" t="s">
        <v>271</v>
      </c>
      <c r="C14" s="90" t="s">
        <v>272</v>
      </c>
      <c r="D14" s="90" t="s">
        <v>61</v>
      </c>
      <c r="E14" s="90" t="str">
        <f>'2017 Assembly'!G14</f>
        <v>INC</v>
      </c>
      <c r="F14" s="90" t="str">
        <f>'2022 Assembly'!G14:G130</f>
        <v>AAP</v>
      </c>
      <c r="G14" s="90" t="str">
        <f t="shared" si="1"/>
        <v>YES</v>
      </c>
      <c r="H14" s="89">
        <f>'2017 Assembly'!O14</f>
        <v>15.48</v>
      </c>
      <c r="I14" s="89">
        <f>'2022 Assembly'!O14</f>
        <v>6.47</v>
      </c>
      <c r="J14" s="89">
        <f t="shared" si="2"/>
        <v>-9.01</v>
      </c>
      <c r="K14" s="89">
        <f>'2017 Assembly'!P14</f>
        <v>81.95</v>
      </c>
      <c r="L14" s="91">
        <f>'2022 Assembly'!P14</f>
        <v>76.9</v>
      </c>
      <c r="M14" s="92">
        <f t="shared" si="3"/>
        <v>-5.05</v>
      </c>
      <c r="N14" s="93" t="str">
        <f>'LS Segments'!G13</f>
        <v>INC</v>
      </c>
      <c r="O14" s="94" t="str">
        <f>'LS Segments'!K13</f>
        <v>AAP</v>
      </c>
      <c r="P14" s="93" t="s">
        <v>32</v>
      </c>
      <c r="Q14" s="95"/>
      <c r="R14" s="93" t="s">
        <v>424</v>
      </c>
      <c r="S14" s="96" t="s">
        <v>428</v>
      </c>
    </row>
    <row r="15">
      <c r="A15" s="89">
        <v>12.0</v>
      </c>
      <c r="B15" s="90" t="s">
        <v>276</v>
      </c>
      <c r="C15" s="90" t="s">
        <v>272</v>
      </c>
      <c r="D15" s="90" t="s">
        <v>61</v>
      </c>
      <c r="E15" s="90" t="str">
        <f>'2017 Assembly'!G15</f>
        <v>INC</v>
      </c>
      <c r="F15" s="90" t="str">
        <f>'2022 Assembly'!G15:G131</f>
        <v>INC</v>
      </c>
      <c r="G15" s="90" t="str">
        <f t="shared" si="1"/>
        <v>NO</v>
      </c>
      <c r="H15" s="89">
        <f>'2017 Assembly'!O15</f>
        <v>4.37</v>
      </c>
      <c r="I15" s="89">
        <f>'2022 Assembly'!O15</f>
        <v>4.14</v>
      </c>
      <c r="J15" s="89">
        <f t="shared" si="2"/>
        <v>-0.23</v>
      </c>
      <c r="K15" s="89">
        <f>'2017 Assembly'!P15</f>
        <v>78.41</v>
      </c>
      <c r="L15" s="91">
        <f>'2022 Assembly'!P15</f>
        <v>74.72</v>
      </c>
      <c r="M15" s="92">
        <f t="shared" si="3"/>
        <v>-3.69</v>
      </c>
      <c r="N15" s="93" t="str">
        <f>'LS Segments'!G14</f>
        <v>INC</v>
      </c>
      <c r="O15" s="94" t="str">
        <f>'LS Segments'!K14</f>
        <v>INC</v>
      </c>
      <c r="P15" s="93" t="s">
        <v>45</v>
      </c>
      <c r="Q15" s="95"/>
      <c r="R15" s="93" t="s">
        <v>429</v>
      </c>
      <c r="S15" s="96" t="s">
        <v>428</v>
      </c>
    </row>
    <row r="16">
      <c r="A16" s="89">
        <v>13.0</v>
      </c>
      <c r="B16" s="90" t="s">
        <v>279</v>
      </c>
      <c r="C16" s="90" t="s">
        <v>272</v>
      </c>
      <c r="D16" s="90" t="s">
        <v>61</v>
      </c>
      <c r="E16" s="90" t="str">
        <f>'2017 Assembly'!G16</f>
        <v>SAD</v>
      </c>
      <c r="F16" s="90" t="str">
        <f>'2022 Assembly'!G16:G132</f>
        <v>SAD</v>
      </c>
      <c r="G16" s="90" t="str">
        <f t="shared" si="1"/>
        <v>NO</v>
      </c>
      <c r="H16" s="89">
        <f>'2017 Assembly'!O16</f>
        <v>18.81</v>
      </c>
      <c r="I16" s="89">
        <f>'2022 Assembly'!O16</f>
        <v>21.48</v>
      </c>
      <c r="J16" s="89">
        <f t="shared" si="2"/>
        <v>2.67</v>
      </c>
      <c r="K16" s="89">
        <f>'2017 Assembly'!P16</f>
        <v>76.56</v>
      </c>
      <c r="L16" s="91">
        <f>'2022 Assembly'!P16</f>
        <v>72.81</v>
      </c>
      <c r="M16" s="92">
        <f t="shared" si="3"/>
        <v>-3.75</v>
      </c>
      <c r="N16" s="93" t="str">
        <f>'LS Segments'!G15</f>
        <v>BJP</v>
      </c>
      <c r="O16" s="94" t="str">
        <f>'LS Segments'!K15</f>
        <v>SAD</v>
      </c>
      <c r="P16" s="93" t="s">
        <v>51</v>
      </c>
      <c r="Q16" s="95"/>
      <c r="R16" s="93" t="s">
        <v>429</v>
      </c>
      <c r="S16" s="96" t="s">
        <v>428</v>
      </c>
    </row>
    <row r="17">
      <c r="A17" s="89">
        <v>14.0</v>
      </c>
      <c r="B17" s="90" t="s">
        <v>282</v>
      </c>
      <c r="C17" s="90" t="s">
        <v>272</v>
      </c>
      <c r="D17" s="90" t="s">
        <v>61</v>
      </c>
      <c r="E17" s="90" t="str">
        <f>'2017 Assembly'!G17</f>
        <v>INC</v>
      </c>
      <c r="F17" s="90" t="str">
        <f>'2022 Assembly'!G17:G133</f>
        <v>AAP</v>
      </c>
      <c r="G17" s="90" t="str">
        <f t="shared" si="1"/>
        <v>YES</v>
      </c>
      <c r="H17" s="89">
        <f>'2017 Assembly'!O17</f>
        <v>14.76</v>
      </c>
      <c r="I17" s="89">
        <f>'2022 Assembly'!O17</f>
        <v>19.87</v>
      </c>
      <c r="J17" s="89">
        <f t="shared" si="2"/>
        <v>5.11</v>
      </c>
      <c r="K17" s="89">
        <f>'2017 Assembly'!P17</f>
        <v>73.58</v>
      </c>
      <c r="L17" s="91">
        <f>'2022 Assembly'!P17</f>
        <v>70.61</v>
      </c>
      <c r="M17" s="92">
        <f t="shared" si="3"/>
        <v>-2.97</v>
      </c>
      <c r="N17" s="93" t="str">
        <f>'LS Segments'!G16</f>
        <v>INC</v>
      </c>
      <c r="O17" s="94" t="str">
        <f>'LS Segments'!K16</f>
        <v>IND</v>
      </c>
      <c r="P17" s="93" t="s">
        <v>32</v>
      </c>
      <c r="Q17" s="95"/>
      <c r="R17" s="93" t="s">
        <v>424</v>
      </c>
      <c r="S17" s="96" t="s">
        <v>446</v>
      </c>
    </row>
    <row r="18">
      <c r="A18" s="89">
        <v>15.0</v>
      </c>
      <c r="B18" s="90" t="s">
        <v>300</v>
      </c>
      <c r="C18" s="90" t="s">
        <v>272</v>
      </c>
      <c r="D18" s="90" t="s">
        <v>61</v>
      </c>
      <c r="E18" s="90" t="str">
        <f>'2017 Assembly'!G18</f>
        <v>INC</v>
      </c>
      <c r="F18" s="90" t="str">
        <f>'2022 Assembly'!G18:G134</f>
        <v>AAP</v>
      </c>
      <c r="G18" s="90" t="str">
        <f t="shared" si="1"/>
        <v>YES</v>
      </c>
      <c r="H18" s="89">
        <f>'2017 Assembly'!O18</f>
        <v>12.16</v>
      </c>
      <c r="I18" s="89">
        <f>'2022 Assembly'!O18</f>
        <v>23.03</v>
      </c>
      <c r="J18" s="89">
        <f t="shared" si="2"/>
        <v>10.87</v>
      </c>
      <c r="K18" s="89">
        <f>'2017 Assembly'!P18</f>
        <v>66.58</v>
      </c>
      <c r="L18" s="91">
        <f>'2022 Assembly'!P18</f>
        <v>61.16</v>
      </c>
      <c r="M18" s="92">
        <f t="shared" si="3"/>
        <v>-5.42</v>
      </c>
      <c r="N18" s="93" t="str">
        <f>'LS Segments'!G17</f>
        <v>INC</v>
      </c>
      <c r="O18" s="94" t="str">
        <f>'LS Segments'!K17</f>
        <v>BJP</v>
      </c>
      <c r="P18" s="93" t="s">
        <v>32</v>
      </c>
      <c r="Q18" s="95"/>
      <c r="R18" s="93" t="s">
        <v>424</v>
      </c>
      <c r="S18" s="96" t="s">
        <v>425</v>
      </c>
    </row>
    <row r="19">
      <c r="A19" s="89">
        <v>16.0</v>
      </c>
      <c r="B19" s="90" t="s">
        <v>314</v>
      </c>
      <c r="C19" s="90" t="s">
        <v>272</v>
      </c>
      <c r="D19" s="90" t="s">
        <v>61</v>
      </c>
      <c r="E19" s="90" t="str">
        <f>'2017 Assembly'!G19</f>
        <v>INC</v>
      </c>
      <c r="F19" s="90" t="str">
        <f>'2022 Assembly'!G19:G135</f>
        <v>AAP</v>
      </c>
      <c r="G19" s="90" t="str">
        <f t="shared" si="1"/>
        <v>YES</v>
      </c>
      <c r="H19" s="89">
        <f>'2017 Assembly'!O19</f>
        <v>25.15</v>
      </c>
      <c r="I19" s="89">
        <f>'2022 Assembly'!O19</f>
        <v>37.33</v>
      </c>
      <c r="J19" s="89">
        <f t="shared" si="2"/>
        <v>12.18</v>
      </c>
      <c r="K19" s="89">
        <f>'2017 Assembly'!P19</f>
        <v>59.38</v>
      </c>
      <c r="L19" s="91">
        <f>'2022 Assembly'!P19</f>
        <v>55.28</v>
      </c>
      <c r="M19" s="92">
        <f t="shared" si="3"/>
        <v>-4.1</v>
      </c>
      <c r="N19" s="93" t="str">
        <f>'LS Segments'!G18</f>
        <v>INC</v>
      </c>
      <c r="O19" s="94" t="str">
        <f>'LS Segments'!K18</f>
        <v>INC</v>
      </c>
      <c r="P19" s="93" t="s">
        <v>32</v>
      </c>
      <c r="Q19" s="95"/>
      <c r="R19" s="93" t="s">
        <v>424</v>
      </c>
      <c r="S19" s="96" t="s">
        <v>434</v>
      </c>
    </row>
    <row r="20">
      <c r="A20" s="89">
        <v>17.0</v>
      </c>
      <c r="B20" s="90" t="s">
        <v>332</v>
      </c>
      <c r="C20" s="90" t="s">
        <v>272</v>
      </c>
      <c r="D20" s="90" t="s">
        <v>61</v>
      </c>
      <c r="E20" s="90" t="str">
        <f>'2017 Assembly'!G20</f>
        <v>INC</v>
      </c>
      <c r="F20" s="90" t="str">
        <f>'2022 Assembly'!G20:G136</f>
        <v>AAP</v>
      </c>
      <c r="G20" s="90" t="str">
        <f t="shared" si="1"/>
        <v>YES</v>
      </c>
      <c r="H20" s="89">
        <f>'2017 Assembly'!O20</f>
        <v>23.52</v>
      </c>
      <c r="I20" s="89">
        <f>'2022 Assembly'!O20</f>
        <v>16.21</v>
      </c>
      <c r="J20" s="89">
        <f t="shared" si="2"/>
        <v>-7.31</v>
      </c>
      <c r="K20" s="89">
        <f>'2017 Assembly'!P20</f>
        <v>66.05</v>
      </c>
      <c r="L20" s="91">
        <f>'2022 Assembly'!P20</f>
        <v>59.25</v>
      </c>
      <c r="M20" s="92">
        <f t="shared" si="3"/>
        <v>-6.8</v>
      </c>
      <c r="N20" s="93" t="str">
        <f>'LS Segments'!G19</f>
        <v>INC</v>
      </c>
      <c r="O20" s="94" t="str">
        <f>'LS Segments'!K19</f>
        <v>BJP</v>
      </c>
      <c r="P20" s="93" t="s">
        <v>32</v>
      </c>
      <c r="Q20" s="95"/>
      <c r="R20" s="93" t="s">
        <v>424</v>
      </c>
      <c r="S20" s="96" t="s">
        <v>425</v>
      </c>
    </row>
    <row r="21">
      <c r="A21" s="89">
        <v>18.0</v>
      </c>
      <c r="B21" s="90" t="s">
        <v>262</v>
      </c>
      <c r="C21" s="90" t="s">
        <v>272</v>
      </c>
      <c r="D21" s="90" t="s">
        <v>61</v>
      </c>
      <c r="E21" s="90" t="str">
        <f>'2017 Assembly'!G21</f>
        <v>INC</v>
      </c>
      <c r="F21" s="90" t="str">
        <f>'2022 Assembly'!G21:G137</f>
        <v>AAP</v>
      </c>
      <c r="G21" s="90" t="str">
        <f t="shared" si="1"/>
        <v>YES</v>
      </c>
      <c r="H21" s="89">
        <f>'2017 Assembly'!O21</f>
        <v>43.19</v>
      </c>
      <c r="I21" s="89">
        <f>'2022 Assembly'!O21</f>
        <v>6.29</v>
      </c>
      <c r="J21" s="89">
        <f t="shared" si="2"/>
        <v>-36.9</v>
      </c>
      <c r="K21" s="89">
        <f>'2017 Assembly'!P21</f>
        <v>64.52</v>
      </c>
      <c r="L21" s="91">
        <f>'2022 Assembly'!P21</f>
        <v>64.17</v>
      </c>
      <c r="M21" s="92">
        <f t="shared" si="3"/>
        <v>-0.35</v>
      </c>
      <c r="N21" s="93" t="str">
        <f>'LS Segments'!G20</f>
        <v>INC</v>
      </c>
      <c r="O21" s="94" t="str">
        <f>'LS Segments'!K20</f>
        <v>BJP</v>
      </c>
      <c r="P21" s="93" t="s">
        <v>32</v>
      </c>
      <c r="Q21" s="95"/>
      <c r="R21" s="93" t="s">
        <v>424</v>
      </c>
      <c r="S21" s="96" t="s">
        <v>425</v>
      </c>
    </row>
    <row r="22">
      <c r="A22" s="89">
        <v>19.0</v>
      </c>
      <c r="B22" s="90" t="s">
        <v>396</v>
      </c>
      <c r="C22" s="90" t="s">
        <v>272</v>
      </c>
      <c r="D22" s="90" t="s">
        <v>61</v>
      </c>
      <c r="E22" s="90" t="str">
        <f>'2017 Assembly'!G22</f>
        <v>INC</v>
      </c>
      <c r="F22" s="90" t="str">
        <f>'2022 Assembly'!G22:G138</f>
        <v>AAP</v>
      </c>
      <c r="G22" s="90" t="str">
        <f t="shared" si="1"/>
        <v>YES</v>
      </c>
      <c r="H22" s="89">
        <f>'2017 Assembly'!O22</f>
        <v>24.46</v>
      </c>
      <c r="I22" s="89">
        <f>'2022 Assembly'!O22</f>
        <v>26.13</v>
      </c>
      <c r="J22" s="89">
        <f t="shared" si="2"/>
        <v>1.67</v>
      </c>
      <c r="K22" s="89">
        <f>'2017 Assembly'!P22</f>
        <v>62.25</v>
      </c>
      <c r="L22" s="91">
        <f>'2022 Assembly'!P22</f>
        <v>59.58</v>
      </c>
      <c r="M22" s="92">
        <f t="shared" si="3"/>
        <v>-2.67</v>
      </c>
      <c r="N22" s="93" t="str">
        <f>'LS Segments'!G21</f>
        <v>INC</v>
      </c>
      <c r="O22" s="94" t="str">
        <f>'LS Segments'!K21</f>
        <v>AAP</v>
      </c>
      <c r="P22" s="93" t="s">
        <v>32</v>
      </c>
      <c r="Q22" s="95"/>
      <c r="R22" s="93" t="s">
        <v>424</v>
      </c>
      <c r="S22" s="96" t="s">
        <v>428</v>
      </c>
    </row>
    <row r="23">
      <c r="A23" s="89">
        <v>20.0</v>
      </c>
      <c r="B23" s="90" t="s">
        <v>398</v>
      </c>
      <c r="C23" s="90" t="s">
        <v>272</v>
      </c>
      <c r="D23" s="90" t="s">
        <v>61</v>
      </c>
      <c r="E23" s="90" t="str">
        <f>'2017 Assembly'!G23</f>
        <v>INC</v>
      </c>
      <c r="F23" s="90" t="str">
        <f>'2022 Assembly'!G23:G139</f>
        <v>AAP</v>
      </c>
      <c r="G23" s="90" t="str">
        <f t="shared" si="1"/>
        <v>YES</v>
      </c>
      <c r="H23" s="89">
        <f>'2017 Assembly'!O23</f>
        <v>7.9</v>
      </c>
      <c r="I23" s="89">
        <f>'2022 Assembly'!O23</f>
        <v>15.61</v>
      </c>
      <c r="J23" s="89">
        <f t="shared" si="2"/>
        <v>7.71</v>
      </c>
      <c r="K23" s="89">
        <f>'2017 Assembly'!P23</f>
        <v>74.46</v>
      </c>
      <c r="L23" s="91">
        <f>'2022 Assembly'!P23</f>
        <v>67.26</v>
      </c>
      <c r="M23" s="92">
        <f t="shared" si="3"/>
        <v>-7.2</v>
      </c>
      <c r="N23" s="93" t="str">
        <f>'LS Segments'!G22</f>
        <v>INC</v>
      </c>
      <c r="O23" s="94" t="str">
        <f>'LS Segments'!K22</f>
        <v>INC</v>
      </c>
      <c r="P23" s="93" t="s">
        <v>32</v>
      </c>
      <c r="Q23" s="95"/>
      <c r="R23" s="93" t="s">
        <v>424</v>
      </c>
      <c r="S23" s="96" t="s">
        <v>434</v>
      </c>
    </row>
    <row r="24">
      <c r="A24" s="89">
        <v>21.0</v>
      </c>
      <c r="B24" s="90" t="s">
        <v>400</v>
      </c>
      <c r="C24" s="90" t="s">
        <v>400</v>
      </c>
      <c r="D24" s="90" t="s">
        <v>61</v>
      </c>
      <c r="E24" s="90" t="str">
        <f>'2017 Assembly'!G24</f>
        <v>INC</v>
      </c>
      <c r="F24" s="90" t="str">
        <f>'2022 Assembly'!G24:G140</f>
        <v>AAP</v>
      </c>
      <c r="G24" s="90" t="str">
        <f t="shared" si="1"/>
        <v>YES</v>
      </c>
      <c r="H24" s="89">
        <f>'2017 Assembly'!O24</f>
        <v>11.1</v>
      </c>
      <c r="I24" s="89">
        <f>'2022 Assembly'!O24</f>
        <v>10.48</v>
      </c>
      <c r="J24" s="89">
        <f t="shared" si="2"/>
        <v>-0.62</v>
      </c>
      <c r="K24" s="89">
        <f>'2017 Assembly'!P24</f>
        <v>71.76</v>
      </c>
      <c r="L24" s="91">
        <f>'2022 Assembly'!P24</f>
        <v>65.95</v>
      </c>
      <c r="M24" s="92">
        <f t="shared" si="3"/>
        <v>-5.81</v>
      </c>
      <c r="N24" s="93" t="str">
        <f>'LS Segments'!G23</f>
        <v>INC</v>
      </c>
      <c r="O24" s="94" t="str">
        <f>'LS Segments'!K23</f>
        <v>IND</v>
      </c>
      <c r="P24" s="93" t="s">
        <v>32</v>
      </c>
      <c r="Q24" s="99" t="s">
        <v>450</v>
      </c>
      <c r="R24" s="93" t="s">
        <v>424</v>
      </c>
      <c r="S24" s="96" t="s">
        <v>446</v>
      </c>
    </row>
    <row r="25">
      <c r="A25" s="89">
        <v>22.0</v>
      </c>
      <c r="B25" s="90" t="s">
        <v>402</v>
      </c>
      <c r="C25" s="90" t="s">
        <v>400</v>
      </c>
      <c r="D25" s="90" t="s">
        <v>61</v>
      </c>
      <c r="E25" s="90" t="str">
        <f>'2017 Assembly'!G25</f>
        <v>INC</v>
      </c>
      <c r="F25" s="90" t="str">
        <f>'2022 Assembly'!G25:G141</f>
        <v>AAP</v>
      </c>
      <c r="G25" s="90" t="str">
        <f t="shared" si="1"/>
        <v>YES</v>
      </c>
      <c r="H25" s="89">
        <f>'2017 Assembly'!O25</f>
        <v>12.81</v>
      </c>
      <c r="I25" s="89">
        <f>'2022 Assembly'!O25</f>
        <v>7.76</v>
      </c>
      <c r="J25" s="89">
        <f t="shared" si="2"/>
        <v>-5.05</v>
      </c>
      <c r="K25" s="89">
        <f>'2017 Assembly'!P25</f>
        <v>76.81</v>
      </c>
      <c r="L25" s="91">
        <f>'2022 Assembly'!P25</f>
        <v>71.08</v>
      </c>
      <c r="M25" s="92">
        <f t="shared" si="3"/>
        <v>-5.73</v>
      </c>
      <c r="N25" s="93" t="str">
        <f>'LS Segments'!G24</f>
        <v>INC</v>
      </c>
      <c r="O25" s="94" t="str">
        <f>'LS Segments'!K24</f>
        <v>IND</v>
      </c>
      <c r="P25" s="93" t="s">
        <v>32</v>
      </c>
      <c r="Q25" s="95"/>
      <c r="R25" s="93" t="s">
        <v>424</v>
      </c>
      <c r="S25" s="96" t="s">
        <v>446</v>
      </c>
    </row>
    <row r="26">
      <c r="A26" s="89">
        <v>23.0</v>
      </c>
      <c r="B26" s="90" t="s">
        <v>404</v>
      </c>
      <c r="C26" s="90" t="s">
        <v>400</v>
      </c>
      <c r="D26" s="90" t="s">
        <v>61</v>
      </c>
      <c r="E26" s="90" t="str">
        <f>'2017 Assembly'!G26</f>
        <v>INC</v>
      </c>
      <c r="F26" s="90" t="str">
        <f>'2022 Assembly'!G26:G142</f>
        <v>AAP</v>
      </c>
      <c r="G26" s="90" t="str">
        <f t="shared" si="1"/>
        <v>YES</v>
      </c>
      <c r="H26" s="89">
        <f>'2017 Assembly'!O26</f>
        <v>5.86</v>
      </c>
      <c r="I26" s="89">
        <f>'2022 Assembly'!O26</f>
        <v>7.65</v>
      </c>
      <c r="J26" s="89">
        <f t="shared" si="2"/>
        <v>1.79</v>
      </c>
      <c r="K26" s="89">
        <f>'2017 Assembly'!P26</f>
        <v>75.14</v>
      </c>
      <c r="L26" s="91">
        <f>'2022 Assembly'!P26</f>
        <v>70.9</v>
      </c>
      <c r="M26" s="92">
        <f t="shared" si="3"/>
        <v>-4.24</v>
      </c>
      <c r="N26" s="93" t="str">
        <f>'LS Segments'!G25</f>
        <v>INC</v>
      </c>
      <c r="O26" s="94" t="str">
        <f>'LS Segments'!K25</f>
        <v>IND</v>
      </c>
      <c r="P26" s="93" t="s">
        <v>32</v>
      </c>
      <c r="Q26" s="95"/>
      <c r="R26" s="93" t="s">
        <v>424</v>
      </c>
      <c r="S26" s="96" t="s">
        <v>446</v>
      </c>
    </row>
    <row r="27">
      <c r="A27" s="89">
        <v>24.0</v>
      </c>
      <c r="B27" s="90" t="s">
        <v>406</v>
      </c>
      <c r="C27" s="90" t="s">
        <v>400</v>
      </c>
      <c r="D27" s="90" t="s">
        <v>61</v>
      </c>
      <c r="E27" s="90" t="str">
        <f>'2017 Assembly'!G27</f>
        <v>INC</v>
      </c>
      <c r="F27" s="90" t="str">
        <f>'2022 Assembly'!G27:G143</f>
        <v>AAP</v>
      </c>
      <c r="G27" s="90" t="str">
        <f t="shared" si="1"/>
        <v>YES</v>
      </c>
      <c r="H27" s="89">
        <f>'2017 Assembly'!O27</f>
        <v>11.72</v>
      </c>
      <c r="I27" s="89">
        <f>'2022 Assembly'!O27</f>
        <v>11.44</v>
      </c>
      <c r="J27" s="89">
        <f t="shared" si="2"/>
        <v>-0.28</v>
      </c>
      <c r="K27" s="89">
        <f>'2017 Assembly'!P27</f>
        <v>74.88</v>
      </c>
      <c r="L27" s="91">
        <f>'2022 Assembly'!P27</f>
        <v>71.37</v>
      </c>
      <c r="M27" s="92">
        <f t="shared" si="3"/>
        <v>-3.51</v>
      </c>
      <c r="N27" s="93" t="str">
        <f>'LS Segments'!G26</f>
        <v>INC</v>
      </c>
      <c r="O27" s="94" t="str">
        <f>'LS Segments'!K26</f>
        <v>IND</v>
      </c>
      <c r="P27" s="93" t="s">
        <v>32</v>
      </c>
      <c r="Q27" s="95"/>
      <c r="R27" s="93" t="s">
        <v>424</v>
      </c>
      <c r="S27" s="96" t="s">
        <v>446</v>
      </c>
    </row>
    <row r="28">
      <c r="A28" s="89">
        <v>25.0</v>
      </c>
      <c r="B28" s="90" t="s">
        <v>408</v>
      </c>
      <c r="C28" s="90" t="s">
        <v>272</v>
      </c>
      <c r="D28" s="90" t="s">
        <v>61</v>
      </c>
      <c r="E28" s="90" t="str">
        <f>'2017 Assembly'!G28</f>
        <v>INC</v>
      </c>
      <c r="F28" s="90" t="str">
        <f>'2022 Assembly'!G28:G144</f>
        <v>AAP</v>
      </c>
      <c r="G28" s="90" t="str">
        <f t="shared" si="1"/>
        <v>YES</v>
      </c>
      <c r="H28" s="89">
        <f>'2017 Assembly'!O28</f>
        <v>5.08</v>
      </c>
      <c r="I28" s="89">
        <f>'2022 Assembly'!O28</f>
        <v>15</v>
      </c>
      <c r="J28" s="89">
        <f t="shared" si="2"/>
        <v>9.92</v>
      </c>
      <c r="K28" s="89">
        <f>'2017 Assembly'!P28</f>
        <v>68.95</v>
      </c>
      <c r="L28" s="91">
        <f>'2022 Assembly'!P28</f>
        <v>65.03</v>
      </c>
      <c r="M28" s="92">
        <f t="shared" si="3"/>
        <v>-3.92</v>
      </c>
      <c r="N28" s="93" t="str">
        <f>'LS Segments'!G27</f>
        <v>INC</v>
      </c>
      <c r="O28" s="94" t="str">
        <f>'LS Segments'!K27</f>
        <v>IND</v>
      </c>
      <c r="P28" s="93" t="s">
        <v>32</v>
      </c>
      <c r="Q28" s="95"/>
      <c r="R28" s="93" t="s">
        <v>424</v>
      </c>
      <c r="S28" s="96" t="s">
        <v>446</v>
      </c>
    </row>
    <row r="29">
      <c r="A29" s="89">
        <v>26.0</v>
      </c>
      <c r="B29" s="90" t="s">
        <v>410</v>
      </c>
      <c r="C29" s="90" t="s">
        <v>411</v>
      </c>
      <c r="D29" s="90" t="s">
        <v>127</v>
      </c>
      <c r="E29" s="90" t="str">
        <f>'2017 Assembly'!G29</f>
        <v>AAP</v>
      </c>
      <c r="F29" s="90" t="str">
        <f>'2022 Assembly'!G29:G145</f>
        <v>INC</v>
      </c>
      <c r="G29" s="90" t="str">
        <f t="shared" si="1"/>
        <v>YES</v>
      </c>
      <c r="H29" s="89">
        <f>'2017 Assembly'!O29</f>
        <v>8.41</v>
      </c>
      <c r="I29" s="89">
        <f>'2022 Assembly'!O29</f>
        <v>10.27</v>
      </c>
      <c r="J29" s="89">
        <f t="shared" si="2"/>
        <v>1.86</v>
      </c>
      <c r="K29" s="89">
        <f>'2017 Assembly'!P29</f>
        <v>74.58</v>
      </c>
      <c r="L29" s="91">
        <f>'2022 Assembly'!P29</f>
        <v>66.14</v>
      </c>
      <c r="M29" s="92">
        <f t="shared" si="3"/>
        <v>-8.44</v>
      </c>
      <c r="N29" s="93" t="str">
        <f>'LS Segments'!G28</f>
        <v>INC</v>
      </c>
      <c r="O29" s="94" t="str">
        <f>'LS Segments'!K28</f>
        <v>AAP</v>
      </c>
      <c r="P29" s="93" t="s">
        <v>45</v>
      </c>
      <c r="Q29" s="95"/>
      <c r="R29" s="93" t="s">
        <v>424</v>
      </c>
      <c r="S29" s="96" t="s">
        <v>455</v>
      </c>
    </row>
    <row r="30">
      <c r="A30" s="89">
        <v>27.0</v>
      </c>
      <c r="B30" s="90" t="s">
        <v>411</v>
      </c>
      <c r="C30" s="90" t="s">
        <v>411</v>
      </c>
      <c r="D30" s="90" t="s">
        <v>127</v>
      </c>
      <c r="E30" s="90" t="str">
        <f>'2017 Assembly'!G30</f>
        <v>INC</v>
      </c>
      <c r="F30" s="90" t="str">
        <f>'2022 Assembly'!G30:G146</f>
        <v>INC</v>
      </c>
      <c r="G30" s="90" t="str">
        <f t="shared" si="1"/>
        <v>NO</v>
      </c>
      <c r="H30" s="89">
        <f>'2017 Assembly'!O30</f>
        <v>27.47</v>
      </c>
      <c r="I30" s="89">
        <f>'2022 Assembly'!O30</f>
        <v>7.16</v>
      </c>
      <c r="J30" s="89">
        <f t="shared" si="2"/>
        <v>-20.31</v>
      </c>
      <c r="K30" s="89">
        <f>'2017 Assembly'!P30</f>
        <v>74.24</v>
      </c>
      <c r="L30" s="91">
        <f>'2022 Assembly'!P30</f>
        <v>68.42</v>
      </c>
      <c r="M30" s="92">
        <f t="shared" si="3"/>
        <v>-5.82</v>
      </c>
      <c r="N30" s="93" t="str">
        <f>'LS Segments'!G29</f>
        <v>INC</v>
      </c>
      <c r="O30" s="94" t="str">
        <f>'LS Segments'!K29</f>
        <v>INC</v>
      </c>
      <c r="P30" s="93" t="s">
        <v>45</v>
      </c>
      <c r="Q30" s="95"/>
      <c r="R30" s="93" t="s">
        <v>429</v>
      </c>
      <c r="S30" s="96" t="s">
        <v>428</v>
      </c>
    </row>
    <row r="31">
      <c r="A31" s="89">
        <v>28.0</v>
      </c>
      <c r="B31" s="90" t="s">
        <v>426</v>
      </c>
      <c r="C31" s="90" t="s">
        <v>411</v>
      </c>
      <c r="D31" s="90" t="s">
        <v>127</v>
      </c>
      <c r="E31" s="90" t="str">
        <f>'2017 Assembly'!G31</f>
        <v>INC</v>
      </c>
      <c r="F31" s="90" t="str">
        <f>'2022 Assembly'!G31:G147</f>
        <v>IND</v>
      </c>
      <c r="G31" s="90" t="str">
        <f t="shared" si="1"/>
        <v>YES</v>
      </c>
      <c r="H31" s="89">
        <f>'2017 Assembly'!O31</f>
        <v>7.57</v>
      </c>
      <c r="I31" s="89">
        <f>'2022 Assembly'!O31</f>
        <v>10.65</v>
      </c>
      <c r="J31" s="89">
        <f t="shared" si="2"/>
        <v>3.08</v>
      </c>
      <c r="K31" s="89">
        <f>'2017 Assembly'!P31</f>
        <v>76.5</v>
      </c>
      <c r="L31" s="91">
        <f>'2022 Assembly'!P31</f>
        <v>72.8</v>
      </c>
      <c r="M31" s="92">
        <f t="shared" si="3"/>
        <v>-3.7</v>
      </c>
      <c r="N31" s="93" t="str">
        <f>'LS Segments'!G30</f>
        <v>INC</v>
      </c>
      <c r="O31" s="94" t="str">
        <f>'LS Segments'!K30</f>
        <v>IND</v>
      </c>
      <c r="P31" s="93" t="s">
        <v>287</v>
      </c>
      <c r="Q31" s="95"/>
      <c r="R31" s="93" t="s">
        <v>424</v>
      </c>
      <c r="S31" s="96" t="s">
        <v>428</v>
      </c>
    </row>
    <row r="32">
      <c r="A32" s="89">
        <v>29.0</v>
      </c>
      <c r="B32" s="90" t="s">
        <v>248</v>
      </c>
      <c r="C32" s="90" t="s">
        <v>411</v>
      </c>
      <c r="D32" s="90" t="s">
        <v>127</v>
      </c>
      <c r="E32" s="90" t="str">
        <f>'2017 Assembly'!G32</f>
        <v>BJP</v>
      </c>
      <c r="F32" s="90" t="str">
        <f>'2022 Assembly'!G32:G148</f>
        <v>INC</v>
      </c>
      <c r="G32" s="90" t="str">
        <f t="shared" si="1"/>
        <v>YES</v>
      </c>
      <c r="H32" s="89">
        <f>'2017 Assembly'!O32</f>
        <v>1.56</v>
      </c>
      <c r="I32" s="89">
        <f>'2022 Assembly'!O32</f>
        <v>2.14</v>
      </c>
      <c r="J32" s="89">
        <f t="shared" si="2"/>
        <v>0.58</v>
      </c>
      <c r="K32" s="89">
        <f>'2017 Assembly'!P32</f>
        <v>72.19</v>
      </c>
      <c r="L32" s="91">
        <f>'2022 Assembly'!P32</f>
        <v>66.28</v>
      </c>
      <c r="M32" s="92">
        <f t="shared" si="3"/>
        <v>-5.91</v>
      </c>
      <c r="N32" s="93" t="str">
        <f>'LS Segments'!G31</f>
        <v>BJP</v>
      </c>
      <c r="O32" s="94" t="str">
        <f>'LS Segments'!K31</f>
        <v>AAP</v>
      </c>
      <c r="P32" s="93" t="s">
        <v>45</v>
      </c>
      <c r="Q32" s="95"/>
      <c r="R32" s="93" t="s">
        <v>424</v>
      </c>
      <c r="S32" s="96" t="s">
        <v>455</v>
      </c>
    </row>
    <row r="33">
      <c r="A33" s="89">
        <v>30.0</v>
      </c>
      <c r="B33" s="90" t="s">
        <v>433</v>
      </c>
      <c r="C33" s="90" t="s">
        <v>436</v>
      </c>
      <c r="D33" s="90" t="s">
        <v>127</v>
      </c>
      <c r="E33" s="90" t="str">
        <f>'2017 Assembly'!G33</f>
        <v>SAD</v>
      </c>
      <c r="F33" s="90" t="str">
        <f>'2022 Assembly'!G33:G149</f>
        <v>INC</v>
      </c>
      <c r="G33" s="90" t="str">
        <f t="shared" si="1"/>
        <v>YES</v>
      </c>
      <c r="H33" s="89">
        <f>'2017 Assembly'!O33</f>
        <v>2.38</v>
      </c>
      <c r="I33" s="89">
        <f>'2022 Assembly'!O33</f>
        <v>8.85</v>
      </c>
      <c r="J33" s="89">
        <f t="shared" si="2"/>
        <v>6.47</v>
      </c>
      <c r="K33" s="89">
        <f>'2017 Assembly'!P33</f>
        <v>75.29</v>
      </c>
      <c r="L33" s="91">
        <f>'2022 Assembly'!P33</f>
        <v>67.51</v>
      </c>
      <c r="M33" s="92">
        <f t="shared" si="3"/>
        <v>-7.78</v>
      </c>
      <c r="N33" s="93" t="str">
        <f>'LS Segments'!G32</f>
        <v>INC</v>
      </c>
      <c r="O33" s="94" t="str">
        <f>'LS Segments'!K32</f>
        <v>INC</v>
      </c>
      <c r="P33" s="93" t="s">
        <v>45</v>
      </c>
      <c r="Q33" s="95"/>
      <c r="R33" s="93" t="s">
        <v>424</v>
      </c>
      <c r="S33" s="96" t="s">
        <v>428</v>
      </c>
    </row>
    <row r="34">
      <c r="A34" s="89">
        <v>31.0</v>
      </c>
      <c r="B34" s="90" t="s">
        <v>235</v>
      </c>
      <c r="C34" s="90" t="s">
        <v>436</v>
      </c>
      <c r="D34" s="90" t="s">
        <v>127</v>
      </c>
      <c r="E34" s="90" t="str">
        <f>'2017 Assembly'!G34</f>
        <v>SAD</v>
      </c>
      <c r="F34" s="90" t="str">
        <f>'2022 Assembly'!G34:G150</f>
        <v>AAP</v>
      </c>
      <c r="G34" s="90" t="str">
        <f t="shared" si="1"/>
        <v>YES</v>
      </c>
      <c r="H34" s="89">
        <f>'2017 Assembly'!O34</f>
        <v>12.94</v>
      </c>
      <c r="I34" s="89">
        <f>'2022 Assembly'!O34</f>
        <v>2.16</v>
      </c>
      <c r="J34" s="89">
        <f t="shared" si="2"/>
        <v>-10.78</v>
      </c>
      <c r="K34" s="89">
        <f>'2017 Assembly'!P34</f>
        <v>76.88</v>
      </c>
      <c r="L34" s="91">
        <f>'2022 Assembly'!P34</f>
        <v>68.83</v>
      </c>
      <c r="M34" s="92">
        <f t="shared" si="3"/>
        <v>-8.05</v>
      </c>
      <c r="N34" s="93" t="str">
        <f>'LS Segments'!G33</f>
        <v>SAD</v>
      </c>
      <c r="O34" s="94" t="str">
        <f>'LS Segments'!K33</f>
        <v>INC</v>
      </c>
      <c r="P34" s="93" t="s">
        <v>32</v>
      </c>
      <c r="Q34" s="95"/>
      <c r="R34" s="93" t="s">
        <v>424</v>
      </c>
      <c r="S34" s="96" t="s">
        <v>434</v>
      </c>
    </row>
    <row r="35">
      <c r="A35" s="89">
        <v>32.0</v>
      </c>
      <c r="B35" s="90" t="s">
        <v>444</v>
      </c>
      <c r="C35" s="90" t="s">
        <v>436</v>
      </c>
      <c r="D35" s="90" t="s">
        <v>127</v>
      </c>
      <c r="E35" s="90" t="str">
        <f>'2017 Assembly'!G35</f>
        <v>SAD</v>
      </c>
      <c r="F35" s="90" t="str">
        <f>'2022 Assembly'!G35:G151</f>
        <v>INC</v>
      </c>
      <c r="G35" s="90" t="str">
        <f t="shared" si="1"/>
        <v>YES</v>
      </c>
      <c r="H35" s="89">
        <f>'2017 Assembly'!O35</f>
        <v>3.65</v>
      </c>
      <c r="I35" s="89">
        <f>'2022 Assembly'!O35</f>
        <v>9.18</v>
      </c>
      <c r="J35" s="89">
        <f t="shared" si="2"/>
        <v>5.53</v>
      </c>
      <c r="K35" s="89">
        <f>'2017 Assembly'!P35</f>
        <v>78.09</v>
      </c>
      <c r="L35" s="91">
        <f>'2022 Assembly'!P35</f>
        <v>72.77</v>
      </c>
      <c r="M35" s="92">
        <f t="shared" si="3"/>
        <v>-5.32</v>
      </c>
      <c r="N35" s="93" t="str">
        <f>'LS Segments'!G34</f>
        <v>INC</v>
      </c>
      <c r="O35" s="94" t="str">
        <f>'LS Segments'!K34</f>
        <v>INC</v>
      </c>
      <c r="P35" s="93" t="s">
        <v>45</v>
      </c>
      <c r="Q35" s="95"/>
      <c r="R35" s="93" t="s">
        <v>424</v>
      </c>
      <c r="S35" s="96" t="s">
        <v>428</v>
      </c>
    </row>
    <row r="36">
      <c r="A36" s="89">
        <v>33.0</v>
      </c>
      <c r="B36" s="90" t="s">
        <v>267</v>
      </c>
      <c r="C36" s="90" t="s">
        <v>436</v>
      </c>
      <c r="D36" s="90" t="s">
        <v>127</v>
      </c>
      <c r="E36" s="90" t="str">
        <f>'2017 Assembly'!G36</f>
        <v>INC</v>
      </c>
      <c r="F36" s="90" t="str">
        <f>'2022 Assembly'!G36:G152</f>
        <v>AAP</v>
      </c>
      <c r="G36" s="90" t="str">
        <f t="shared" si="1"/>
        <v>YES</v>
      </c>
      <c r="H36" s="89">
        <f>'2017 Assembly'!O36</f>
        <v>4.81</v>
      </c>
      <c r="I36" s="89">
        <f>'2022 Assembly'!O36</f>
        <v>3.69</v>
      </c>
      <c r="J36" s="89">
        <f t="shared" si="2"/>
        <v>-1.12</v>
      </c>
      <c r="K36" s="89">
        <f>'2017 Assembly'!P36</f>
        <v>73.32</v>
      </c>
      <c r="L36" s="91">
        <f>'2022 Assembly'!P36</f>
        <v>67.65</v>
      </c>
      <c r="M36" s="92">
        <f t="shared" si="3"/>
        <v>-5.67</v>
      </c>
      <c r="N36" s="93" t="str">
        <f>'LS Segments'!G35</f>
        <v>INC</v>
      </c>
      <c r="O36" s="94" t="str">
        <f>'LS Segments'!K35</f>
        <v>INC</v>
      </c>
      <c r="P36" s="93" t="s">
        <v>32</v>
      </c>
      <c r="Q36" s="95"/>
      <c r="R36" s="93" t="s">
        <v>424</v>
      </c>
      <c r="S36" s="96" t="s">
        <v>434</v>
      </c>
    </row>
    <row r="37">
      <c r="A37" s="89">
        <v>34.0</v>
      </c>
      <c r="B37" s="90" t="s">
        <v>274</v>
      </c>
      <c r="C37" s="90" t="s">
        <v>436</v>
      </c>
      <c r="D37" s="90" t="s">
        <v>127</v>
      </c>
      <c r="E37" s="90" t="str">
        <f>'2017 Assembly'!G37</f>
        <v>INC</v>
      </c>
      <c r="F37" s="90" t="str">
        <f>'2022 Assembly'!G37:G153</f>
        <v>AAP</v>
      </c>
      <c r="G37" s="90" t="str">
        <f t="shared" si="1"/>
        <v>YES</v>
      </c>
      <c r="H37" s="89">
        <f>'2017 Assembly'!O37</f>
        <v>15.84</v>
      </c>
      <c r="I37" s="89">
        <f>'2022 Assembly'!O37</f>
        <v>3.69</v>
      </c>
      <c r="J37" s="89">
        <f t="shared" si="2"/>
        <v>-12.15</v>
      </c>
      <c r="K37" s="89">
        <f>'2017 Assembly'!P37</f>
        <v>72.05</v>
      </c>
      <c r="L37" s="91">
        <f>'2022 Assembly'!P37</f>
        <v>67.71</v>
      </c>
      <c r="M37" s="92">
        <f t="shared" si="3"/>
        <v>-4.34</v>
      </c>
      <c r="N37" s="93" t="str">
        <f>'LS Segments'!G36</f>
        <v>INC</v>
      </c>
      <c r="O37" s="94" t="str">
        <f>'LS Segments'!K36</f>
        <v>INC</v>
      </c>
      <c r="P37" s="93" t="s">
        <v>32</v>
      </c>
      <c r="Q37" s="95"/>
      <c r="R37" s="93" t="s">
        <v>424</v>
      </c>
      <c r="S37" s="96" t="s">
        <v>434</v>
      </c>
    </row>
    <row r="38">
      <c r="A38" s="89">
        <v>35.0</v>
      </c>
      <c r="B38" s="90" t="s">
        <v>215</v>
      </c>
      <c r="C38" s="90" t="s">
        <v>436</v>
      </c>
      <c r="D38" s="90" t="s">
        <v>127</v>
      </c>
      <c r="E38" s="90" t="str">
        <f>'2017 Assembly'!G38</f>
        <v>INC</v>
      </c>
      <c r="F38" s="90" t="str">
        <f>'2022 Assembly'!G38:G154</f>
        <v>AAP</v>
      </c>
      <c r="G38" s="90" t="str">
        <f t="shared" si="1"/>
        <v>YES</v>
      </c>
      <c r="H38" s="89">
        <f>'2017 Assembly'!O38</f>
        <v>22.87</v>
      </c>
      <c r="I38" s="89">
        <f>'2022 Assembly'!O38</f>
        <v>0.23</v>
      </c>
      <c r="J38" s="89">
        <f t="shared" si="2"/>
        <v>-22.64</v>
      </c>
      <c r="K38" s="89">
        <f>'2017 Assembly'!P38</f>
        <v>67.54</v>
      </c>
      <c r="L38" s="91">
        <f>'2022 Assembly'!P38</f>
        <v>61.14</v>
      </c>
      <c r="M38" s="92">
        <f t="shared" si="3"/>
        <v>-6.4</v>
      </c>
      <c r="N38" s="93" t="str">
        <f>'LS Segments'!G37</f>
        <v>SAD</v>
      </c>
      <c r="O38" s="94" t="str">
        <f>'LS Segments'!K37</f>
        <v>BJP</v>
      </c>
      <c r="P38" s="93" t="s">
        <v>32</v>
      </c>
      <c r="Q38" s="95"/>
      <c r="R38" s="93" t="s">
        <v>424</v>
      </c>
      <c r="S38" s="96" t="s">
        <v>425</v>
      </c>
    </row>
    <row r="39">
      <c r="A39" s="89">
        <v>36.0</v>
      </c>
      <c r="B39" s="90" t="s">
        <v>451</v>
      </c>
      <c r="C39" s="90" t="s">
        <v>436</v>
      </c>
      <c r="D39" s="90" t="s">
        <v>127</v>
      </c>
      <c r="E39" s="90" t="str">
        <f>'2017 Assembly'!G39</f>
        <v>INC</v>
      </c>
      <c r="F39" s="90" t="str">
        <f>'2022 Assembly'!G39:G155</f>
        <v>INC</v>
      </c>
      <c r="G39" s="90" t="str">
        <f t="shared" si="1"/>
        <v>NO</v>
      </c>
      <c r="H39" s="89">
        <f>'2017 Assembly'!O39</f>
        <v>26.19</v>
      </c>
      <c r="I39" s="89">
        <f>'2022 Assembly'!O39</f>
        <v>7.46</v>
      </c>
      <c r="J39" s="89">
        <f t="shared" si="2"/>
        <v>-18.73</v>
      </c>
      <c r="K39" s="89">
        <f>'2017 Assembly'!P39</f>
        <v>71.51</v>
      </c>
      <c r="L39" s="91">
        <f>'2022 Assembly'!P39</f>
        <v>66.69</v>
      </c>
      <c r="M39" s="92">
        <f t="shared" si="3"/>
        <v>-4.82</v>
      </c>
      <c r="N39" s="93" t="str">
        <f>'LS Segments'!G38</f>
        <v>SAD</v>
      </c>
      <c r="O39" s="94" t="str">
        <f>'LS Segments'!K38</f>
        <v>BJP</v>
      </c>
      <c r="P39" s="93" t="s">
        <v>45</v>
      </c>
      <c r="Q39" s="95"/>
      <c r="R39" s="93" t="s">
        <v>429</v>
      </c>
      <c r="S39" s="96" t="s">
        <v>425</v>
      </c>
    </row>
    <row r="40">
      <c r="A40" s="89">
        <v>37.0</v>
      </c>
      <c r="B40" s="90" t="s">
        <v>453</v>
      </c>
      <c r="C40" s="90" t="s">
        <v>436</v>
      </c>
      <c r="D40" s="90" t="s">
        <v>127</v>
      </c>
      <c r="E40" s="90" t="str">
        <f>'2017 Assembly'!G40</f>
        <v>INC</v>
      </c>
      <c r="F40" s="90" t="str">
        <f>'2022 Assembly'!G40:G156</f>
        <v>INC</v>
      </c>
      <c r="G40" s="90" t="str">
        <f t="shared" si="1"/>
        <v>NO</v>
      </c>
      <c r="H40" s="89">
        <f>'2017 Assembly'!O40</f>
        <v>23.23</v>
      </c>
      <c r="I40" s="89">
        <f>'2022 Assembly'!O40</f>
        <v>4.68</v>
      </c>
      <c r="J40" s="89">
        <f t="shared" si="2"/>
        <v>-18.55</v>
      </c>
      <c r="K40" s="89">
        <f>'2017 Assembly'!P40</f>
        <v>67.96</v>
      </c>
      <c r="L40" s="91">
        <f>'2022 Assembly'!P40</f>
        <v>64.48</v>
      </c>
      <c r="M40" s="92">
        <f t="shared" si="3"/>
        <v>-3.48</v>
      </c>
      <c r="N40" s="93" t="str">
        <f>'LS Segments'!G39</f>
        <v>INC</v>
      </c>
      <c r="O40" s="94" t="str">
        <f>'LS Segments'!K39</f>
        <v>INC</v>
      </c>
      <c r="P40" s="93" t="s">
        <v>45</v>
      </c>
      <c r="Q40" s="95"/>
      <c r="R40" s="93" t="s">
        <v>429</v>
      </c>
      <c r="S40" s="96" t="s">
        <v>428</v>
      </c>
    </row>
    <row r="41">
      <c r="A41" s="89">
        <v>38.0</v>
      </c>
      <c r="B41" s="90" t="s">
        <v>456</v>
      </c>
      <c r="C41" s="90" t="s">
        <v>436</v>
      </c>
      <c r="D41" s="90" t="s">
        <v>127</v>
      </c>
      <c r="E41" s="90" t="str">
        <f>'2017 Assembly'!G41</f>
        <v>SAD</v>
      </c>
      <c r="F41" s="90" t="str">
        <f>'2022 Assembly'!G41:G157</f>
        <v>INC</v>
      </c>
      <c r="G41" s="90" t="str">
        <f t="shared" si="1"/>
        <v>YES</v>
      </c>
      <c r="H41" s="89">
        <f>'2017 Assembly'!O41</f>
        <v>6.66</v>
      </c>
      <c r="I41" s="89">
        <f>'2022 Assembly'!O41</f>
        <v>4.06</v>
      </c>
      <c r="J41" s="89">
        <f t="shared" si="2"/>
        <v>-2.6</v>
      </c>
      <c r="K41" s="89">
        <f>'2017 Assembly'!P41</f>
        <v>73</v>
      </c>
      <c r="L41" s="91">
        <f>'2022 Assembly'!P41</f>
        <v>67.74</v>
      </c>
      <c r="M41" s="92">
        <f t="shared" si="3"/>
        <v>-5.26</v>
      </c>
      <c r="N41" s="93" t="str">
        <f>'LS Segments'!G40</f>
        <v>BSP</v>
      </c>
      <c r="O41" s="94" t="str">
        <f>'LS Segments'!K40</f>
        <v>INC</v>
      </c>
      <c r="P41" s="93" t="s">
        <v>45</v>
      </c>
      <c r="Q41" s="95"/>
      <c r="R41" s="93" t="s">
        <v>424</v>
      </c>
      <c r="S41" s="96" t="s">
        <v>428</v>
      </c>
    </row>
    <row r="42">
      <c r="A42" s="89">
        <v>39.0</v>
      </c>
      <c r="B42" s="90" t="s">
        <v>458</v>
      </c>
      <c r="C42" s="90" t="s">
        <v>459</v>
      </c>
      <c r="D42" s="90" t="s">
        <v>127</v>
      </c>
      <c r="E42" s="90" t="str">
        <f>'2017 Assembly'!G42</f>
        <v>INC</v>
      </c>
      <c r="F42" s="90" t="str">
        <f>'2022 Assembly'!G42:G158</f>
        <v>BJP</v>
      </c>
      <c r="G42" s="90" t="str">
        <f t="shared" si="1"/>
        <v>YES</v>
      </c>
      <c r="H42" s="89">
        <f>'2017 Assembly'!O42</f>
        <v>17.15</v>
      </c>
      <c r="I42" s="89">
        <f>'2022 Assembly'!O42</f>
        <v>1.89</v>
      </c>
      <c r="J42" s="89">
        <f t="shared" si="2"/>
        <v>-15.26</v>
      </c>
      <c r="K42" s="89">
        <f>'2017 Assembly'!P42</f>
        <v>70.17</v>
      </c>
      <c r="L42" s="91">
        <f>'2022 Assembly'!P42</f>
        <v>68.87</v>
      </c>
      <c r="M42" s="92">
        <f t="shared" si="3"/>
        <v>-1.3</v>
      </c>
      <c r="N42" s="93" t="str">
        <f>'LS Segments'!G41</f>
        <v>BJP</v>
      </c>
      <c r="O42" s="94" t="str">
        <f>'LS Segments'!K41</f>
        <v>BJP</v>
      </c>
      <c r="P42" s="93" t="s">
        <v>53</v>
      </c>
      <c r="Q42" s="95"/>
      <c r="R42" s="93" t="s">
        <v>424</v>
      </c>
      <c r="S42" s="96" t="s">
        <v>428</v>
      </c>
    </row>
    <row r="43">
      <c r="A43" s="89">
        <v>40.0</v>
      </c>
      <c r="B43" s="90" t="s">
        <v>461</v>
      </c>
      <c r="C43" s="90" t="s">
        <v>459</v>
      </c>
      <c r="D43" s="90" t="s">
        <v>127</v>
      </c>
      <c r="E43" s="90" t="str">
        <f>'2017 Assembly'!G43</f>
        <v>INC</v>
      </c>
      <c r="F43" s="90" t="str">
        <f>'2022 Assembly'!G43:G159</f>
        <v>AAP</v>
      </c>
      <c r="G43" s="90" t="str">
        <f t="shared" si="1"/>
        <v>YES</v>
      </c>
      <c r="H43" s="89">
        <f>'2017 Assembly'!O43</f>
        <v>13.61</v>
      </c>
      <c r="I43" s="89">
        <f>'2022 Assembly'!O43</f>
        <v>6.47</v>
      </c>
      <c r="J43" s="89">
        <f t="shared" si="2"/>
        <v>-7.14</v>
      </c>
      <c r="K43" s="89">
        <f>'2017 Assembly'!P43</f>
        <v>68.41</v>
      </c>
      <c r="L43" s="91">
        <f>'2022 Assembly'!P43</f>
        <v>66.27</v>
      </c>
      <c r="M43" s="92">
        <f t="shared" si="3"/>
        <v>-2.14</v>
      </c>
      <c r="N43" s="93" t="str">
        <f>'LS Segments'!G42</f>
        <v>BJP</v>
      </c>
      <c r="O43" s="94" t="str">
        <f>'LS Segments'!K42</f>
        <v>BJP</v>
      </c>
      <c r="P43" s="93" t="s">
        <v>32</v>
      </c>
      <c r="Q43" s="95"/>
      <c r="R43" s="93" t="s">
        <v>424</v>
      </c>
      <c r="S43" s="96" t="s">
        <v>425</v>
      </c>
    </row>
    <row r="44">
      <c r="A44" s="89">
        <v>41.0</v>
      </c>
      <c r="B44" s="90" t="s">
        <v>275</v>
      </c>
      <c r="C44" s="90" t="s">
        <v>459</v>
      </c>
      <c r="D44" s="90" t="s">
        <v>127</v>
      </c>
      <c r="E44" s="90" t="str">
        <f>'2017 Assembly'!G44</f>
        <v>INC</v>
      </c>
      <c r="F44" s="90" t="str">
        <f>'2022 Assembly'!G44:G160</f>
        <v>AAP</v>
      </c>
      <c r="G44" s="90" t="str">
        <f t="shared" si="1"/>
        <v>YES</v>
      </c>
      <c r="H44" s="89">
        <f>'2017 Assembly'!O44</f>
        <v>11.94</v>
      </c>
      <c r="I44" s="89">
        <f>'2022 Assembly'!O44</f>
        <v>3.37</v>
      </c>
      <c r="J44" s="89">
        <f t="shared" si="2"/>
        <v>-8.57</v>
      </c>
      <c r="K44" s="89">
        <f>'2017 Assembly'!P44</f>
        <v>71.05</v>
      </c>
      <c r="L44" s="91">
        <f>'2022 Assembly'!P44</f>
        <v>68.4</v>
      </c>
      <c r="M44" s="92">
        <f t="shared" si="3"/>
        <v>-2.65</v>
      </c>
      <c r="N44" s="93" t="str">
        <f>'LS Segments'!G43</f>
        <v>INC</v>
      </c>
      <c r="O44" s="94" t="str">
        <f>'LS Segments'!K43</f>
        <v>INC</v>
      </c>
      <c r="P44" s="93" t="s">
        <v>32</v>
      </c>
      <c r="Q44" s="95"/>
      <c r="R44" s="93" t="s">
        <v>424</v>
      </c>
      <c r="S44" s="96" t="s">
        <v>434</v>
      </c>
    </row>
    <row r="45">
      <c r="A45" s="89">
        <v>42.0</v>
      </c>
      <c r="B45" s="90" t="s">
        <v>462</v>
      </c>
      <c r="C45" s="90" t="s">
        <v>459</v>
      </c>
      <c r="D45" s="90" t="s">
        <v>127</v>
      </c>
      <c r="E45" s="90" t="str">
        <f>'2017 Assembly'!G45</f>
        <v>INC</v>
      </c>
      <c r="F45" s="90" t="str">
        <f>'2022 Assembly'!G45:G161</f>
        <v>AAP</v>
      </c>
      <c r="G45" s="90" t="str">
        <f t="shared" si="1"/>
        <v>YES</v>
      </c>
      <c r="H45" s="89">
        <f>'2017 Assembly'!O45</f>
        <v>3.1</v>
      </c>
      <c r="I45" s="89">
        <f>'2022 Assembly'!O45</f>
        <v>17.37</v>
      </c>
      <c r="J45" s="89">
        <f t="shared" si="2"/>
        <v>14.27</v>
      </c>
      <c r="K45" s="89">
        <f>'2017 Assembly'!P45</f>
        <v>73.76</v>
      </c>
      <c r="L45" s="91">
        <f>'2022 Assembly'!P45</f>
        <v>69.32</v>
      </c>
      <c r="M45" s="92">
        <f t="shared" si="3"/>
        <v>-4.44</v>
      </c>
      <c r="N45" s="93" t="str">
        <f>'LS Segments'!G44</f>
        <v>INC</v>
      </c>
      <c r="O45" s="94" t="str">
        <f>'LS Segments'!K44</f>
        <v>AAP</v>
      </c>
      <c r="P45" s="93" t="s">
        <v>32</v>
      </c>
      <c r="Q45" s="95"/>
      <c r="R45" s="93" t="s">
        <v>424</v>
      </c>
      <c r="S45" s="96" t="s">
        <v>428</v>
      </c>
    </row>
    <row r="46">
      <c r="A46" s="89">
        <v>43.0</v>
      </c>
      <c r="B46" s="90" t="s">
        <v>459</v>
      </c>
      <c r="C46" s="90" t="s">
        <v>459</v>
      </c>
      <c r="D46" s="90" t="s">
        <v>127</v>
      </c>
      <c r="E46" s="90" t="str">
        <f>'2017 Assembly'!G46</f>
        <v>INC</v>
      </c>
      <c r="F46" s="90" t="str">
        <f>'2022 Assembly'!G46:G162</f>
        <v>AAP</v>
      </c>
      <c r="G46" s="90" t="str">
        <f t="shared" si="1"/>
        <v>YES</v>
      </c>
      <c r="H46" s="89">
        <f>'2017 Assembly'!O46</f>
        <v>9.19</v>
      </c>
      <c r="I46" s="89">
        <f>'2022 Assembly'!O46</f>
        <v>10.93</v>
      </c>
      <c r="J46" s="89">
        <f t="shared" si="2"/>
        <v>1.74</v>
      </c>
      <c r="K46" s="89">
        <f>'2017 Assembly'!P46</f>
        <v>69.36</v>
      </c>
      <c r="L46" s="91">
        <f>'2022 Assembly'!P46</f>
        <v>66.19</v>
      </c>
      <c r="M46" s="92">
        <f t="shared" si="3"/>
        <v>-3.17</v>
      </c>
      <c r="N46" s="93" t="str">
        <f>'LS Segments'!G45</f>
        <v>BJP</v>
      </c>
      <c r="O46" s="94" t="str">
        <f>'LS Segments'!K45</f>
        <v>BJP</v>
      </c>
      <c r="P46" s="93" t="s">
        <v>32</v>
      </c>
      <c r="Q46" s="95"/>
      <c r="R46" s="93" t="s">
        <v>424</v>
      </c>
      <c r="S46" s="96" t="s">
        <v>425</v>
      </c>
    </row>
    <row r="47">
      <c r="A47" s="89">
        <v>44.0</v>
      </c>
      <c r="B47" s="90" t="s">
        <v>247</v>
      </c>
      <c r="C47" s="90" t="s">
        <v>459</v>
      </c>
      <c r="D47" s="90" t="s">
        <v>127</v>
      </c>
      <c r="E47" s="90" t="str">
        <f>'2017 Assembly'!G47</f>
        <v>INC</v>
      </c>
      <c r="F47" s="90" t="str">
        <f>'2022 Assembly'!G47:G163</f>
        <v>INC</v>
      </c>
      <c r="G47" s="90" t="str">
        <f t="shared" si="1"/>
        <v>NO</v>
      </c>
      <c r="H47" s="89">
        <f>'2017 Assembly'!O47</f>
        <v>25.45</v>
      </c>
      <c r="I47" s="89">
        <f>'2022 Assembly'!O47</f>
        <v>6.68</v>
      </c>
      <c r="J47" s="89">
        <f t="shared" si="2"/>
        <v>-18.77</v>
      </c>
      <c r="K47" s="89">
        <f>'2017 Assembly'!P47</f>
        <v>73.64</v>
      </c>
      <c r="L47" s="91">
        <f>'2022 Assembly'!P47</f>
        <v>71.22</v>
      </c>
      <c r="M47" s="92">
        <f t="shared" si="3"/>
        <v>-2.42</v>
      </c>
      <c r="N47" s="93" t="str">
        <f>'LS Segments'!G46</f>
        <v>INC</v>
      </c>
      <c r="O47" s="94" t="str">
        <f>'LS Segments'!K46</f>
        <v>AAP</v>
      </c>
      <c r="P47" s="93" t="s">
        <v>32</v>
      </c>
      <c r="Q47" s="99" t="s">
        <v>210</v>
      </c>
      <c r="R47" s="93" t="s">
        <v>443</v>
      </c>
      <c r="S47" s="96" t="s">
        <v>455</v>
      </c>
    </row>
    <row r="48">
      <c r="A48" s="89">
        <v>45.0</v>
      </c>
      <c r="B48" s="90" t="s">
        <v>465</v>
      </c>
      <c r="C48" s="90" t="s">
        <v>459</v>
      </c>
      <c r="D48" s="90" t="s">
        <v>127</v>
      </c>
      <c r="E48" s="90" t="str">
        <f>'2017 Assembly'!G48</f>
        <v>AAP</v>
      </c>
      <c r="F48" s="90" t="str">
        <f>'2022 Assembly'!G48:G164</f>
        <v>AAP</v>
      </c>
      <c r="G48" s="90" t="str">
        <f t="shared" si="1"/>
        <v>NO</v>
      </c>
      <c r="H48" s="89">
        <f>'2017 Assembly'!O48</f>
        <v>1.32</v>
      </c>
      <c r="I48" s="89">
        <f>'2022 Assembly'!O48</f>
        <v>3.44</v>
      </c>
      <c r="J48" s="89">
        <f t="shared" si="2"/>
        <v>2.12</v>
      </c>
      <c r="K48" s="89">
        <f>'2017 Assembly'!P48</f>
        <v>73.43</v>
      </c>
      <c r="L48" s="91">
        <f>'2022 Assembly'!P48</f>
        <v>69.47</v>
      </c>
      <c r="M48" s="92">
        <f t="shared" si="3"/>
        <v>-3.96</v>
      </c>
      <c r="N48" s="93" t="str">
        <f>'LS Segments'!G47</f>
        <v>INC</v>
      </c>
      <c r="O48" s="94" t="str">
        <f>'LS Segments'!K47</f>
        <v>AAP</v>
      </c>
      <c r="P48" s="93" t="s">
        <v>32</v>
      </c>
      <c r="Q48" s="95"/>
      <c r="R48" s="93" t="s">
        <v>429</v>
      </c>
      <c r="S48" s="96" t="s">
        <v>428</v>
      </c>
    </row>
    <row r="49">
      <c r="A49" s="89">
        <v>46.0</v>
      </c>
      <c r="B49" s="90" t="s">
        <v>211</v>
      </c>
      <c r="C49" s="90" t="s">
        <v>487</v>
      </c>
      <c r="D49" s="90" t="s">
        <v>127</v>
      </c>
      <c r="E49" s="90" t="str">
        <f>'2017 Assembly'!G49</f>
        <v>SAD</v>
      </c>
      <c r="F49" s="90" t="str">
        <f>'2022 Assembly'!G49:G165</f>
        <v>SAD</v>
      </c>
      <c r="G49" s="90" t="str">
        <f t="shared" si="1"/>
        <v>NO</v>
      </c>
      <c r="H49" s="89">
        <f>'2017 Assembly'!O49</f>
        <v>1.55</v>
      </c>
      <c r="I49" s="89">
        <f>'2022 Assembly'!O49</f>
        <v>4.43</v>
      </c>
      <c r="J49" s="89">
        <f t="shared" si="2"/>
        <v>2.88</v>
      </c>
      <c r="K49" s="89">
        <f>'2017 Assembly'!P49</f>
        <v>76.59</v>
      </c>
      <c r="L49" s="91">
        <f>'2022 Assembly'!P49</f>
        <v>69.71</v>
      </c>
      <c r="M49" s="92">
        <f t="shared" si="3"/>
        <v>-6.88</v>
      </c>
      <c r="N49" s="93" t="str">
        <f>'LS Segments'!G48</f>
        <v>BSP</v>
      </c>
      <c r="O49" s="94" t="str">
        <f>'LS Segments'!K48</f>
        <v>AAP</v>
      </c>
      <c r="P49" s="93" t="s">
        <v>32</v>
      </c>
      <c r="Q49" s="93" t="s">
        <v>490</v>
      </c>
      <c r="R49" s="93" t="s">
        <v>443</v>
      </c>
      <c r="S49" s="96" t="s">
        <v>455</v>
      </c>
    </row>
    <row r="50">
      <c r="A50" s="89">
        <v>47.0</v>
      </c>
      <c r="B50" s="90" t="s">
        <v>259</v>
      </c>
      <c r="C50" s="90" t="s">
        <v>487</v>
      </c>
      <c r="D50" s="90" t="s">
        <v>127</v>
      </c>
      <c r="E50" s="90" t="str">
        <f>'2017 Assembly'!G50</f>
        <v>INC</v>
      </c>
      <c r="F50" s="90" t="str">
        <f>'2022 Assembly'!G50:G166</f>
        <v>BSP</v>
      </c>
      <c r="G50" s="90" t="str">
        <f t="shared" si="1"/>
        <v>YES</v>
      </c>
      <c r="H50" s="89">
        <f>'2017 Assembly'!O50</f>
        <v>2.6</v>
      </c>
      <c r="I50" s="89">
        <f>'2022 Assembly'!O50</f>
        <v>4.36</v>
      </c>
      <c r="J50" s="89">
        <f t="shared" si="2"/>
        <v>1.76</v>
      </c>
      <c r="K50" s="89">
        <f>'2017 Assembly'!P50</f>
        <v>75.99</v>
      </c>
      <c r="L50" s="91">
        <f>'2022 Assembly'!P50</f>
        <v>69.83</v>
      </c>
      <c r="M50" s="92">
        <f t="shared" si="3"/>
        <v>-6.16</v>
      </c>
      <c r="N50" s="93" t="str">
        <f>'LS Segments'!G49</f>
        <v>INC</v>
      </c>
      <c r="O50" s="94" t="str">
        <f>'LS Segments'!K49</f>
        <v>AAP</v>
      </c>
      <c r="P50" s="93" t="s">
        <v>74</v>
      </c>
      <c r="Q50" s="95"/>
      <c r="R50" s="93" t="s">
        <v>424</v>
      </c>
      <c r="S50" s="96" t="s">
        <v>455</v>
      </c>
    </row>
    <row r="51">
      <c r="A51" s="89">
        <v>48.0</v>
      </c>
      <c r="B51" s="90" t="s">
        <v>278</v>
      </c>
      <c r="C51" s="90" t="s">
        <v>487</v>
      </c>
      <c r="D51" s="90" t="s">
        <v>127</v>
      </c>
      <c r="E51" s="90" t="str">
        <f>'2017 Assembly'!G51</f>
        <v>INC</v>
      </c>
      <c r="F51" s="90" t="str">
        <f>'2022 Assembly'!G51:G167</f>
        <v>AAP</v>
      </c>
      <c r="G51" s="90" t="str">
        <f t="shared" si="1"/>
        <v>YES</v>
      </c>
      <c r="H51" s="89">
        <f>'2017 Assembly'!O51</f>
        <v>16.85</v>
      </c>
      <c r="I51" s="89">
        <f>'2022 Assembly'!O51</f>
        <v>3.97</v>
      </c>
      <c r="J51" s="89">
        <f t="shared" si="2"/>
        <v>-12.88</v>
      </c>
      <c r="K51" s="89">
        <f>'2017 Assembly'!P51</f>
        <v>78.59</v>
      </c>
      <c r="L51" s="91">
        <f>'2022 Assembly'!P51</f>
        <v>73.6</v>
      </c>
      <c r="M51" s="92">
        <f t="shared" si="3"/>
        <v>-4.99</v>
      </c>
      <c r="N51" s="93" t="str">
        <f>'LS Segments'!G50</f>
        <v>SAD</v>
      </c>
      <c r="O51" s="94" t="str">
        <f>'LS Segments'!K50</f>
        <v>INC</v>
      </c>
      <c r="P51" s="93" t="s">
        <v>32</v>
      </c>
      <c r="Q51" s="95"/>
      <c r="R51" s="93" t="s">
        <v>424</v>
      </c>
      <c r="S51" s="96" t="s">
        <v>434</v>
      </c>
    </row>
    <row r="52">
      <c r="A52" s="89">
        <v>49.0</v>
      </c>
      <c r="B52" s="90" t="s">
        <v>467</v>
      </c>
      <c r="C52" s="90" t="s">
        <v>469</v>
      </c>
      <c r="D52" s="90" t="s">
        <v>35</v>
      </c>
      <c r="E52" s="90" t="str">
        <f>'2017 Assembly'!G52</f>
        <v>INC</v>
      </c>
      <c r="F52" s="90" t="str">
        <f>'2022 Assembly'!G52:G168</f>
        <v>AAP</v>
      </c>
      <c r="G52" s="90" t="str">
        <f t="shared" si="1"/>
        <v>YES</v>
      </c>
      <c r="H52" s="89">
        <f>'2017 Assembly'!O52</f>
        <v>17.79</v>
      </c>
      <c r="I52" s="89">
        <f>'2022 Assembly'!O52</f>
        <v>32.58</v>
      </c>
      <c r="J52" s="89">
        <f t="shared" si="2"/>
        <v>14.79</v>
      </c>
      <c r="K52" s="89">
        <f>'2017 Assembly'!P52</f>
        <v>74.48</v>
      </c>
      <c r="L52" s="91">
        <f>'2022 Assembly'!P52</f>
        <v>73.2</v>
      </c>
      <c r="M52" s="92">
        <f t="shared" si="3"/>
        <v>-1.28</v>
      </c>
      <c r="N52" s="93" t="str">
        <f>'LS Segments'!G51</f>
        <v>SAD</v>
      </c>
      <c r="O52" s="94" t="str">
        <f>'LS Segments'!K51</f>
        <v>AAP</v>
      </c>
      <c r="P52" s="93" t="s">
        <v>32</v>
      </c>
      <c r="Q52" s="95"/>
      <c r="R52" s="93" t="s">
        <v>424</v>
      </c>
      <c r="S52" s="96" t="s">
        <v>428</v>
      </c>
    </row>
    <row r="53">
      <c r="A53" s="89">
        <v>50.0</v>
      </c>
      <c r="B53" s="90" t="s">
        <v>469</v>
      </c>
      <c r="C53" s="90" t="s">
        <v>469</v>
      </c>
      <c r="D53" s="90" t="s">
        <v>35</v>
      </c>
      <c r="E53" s="90" t="str">
        <f>'2017 Assembly'!G53</f>
        <v>AAP</v>
      </c>
      <c r="F53" s="90" t="str">
        <f>'2022 Assembly'!G53:G169</f>
        <v>AAP</v>
      </c>
      <c r="G53" s="90" t="str">
        <f t="shared" si="1"/>
        <v>NO</v>
      </c>
      <c r="H53" s="89">
        <f>'2017 Assembly'!O53</f>
        <v>18.35</v>
      </c>
      <c r="I53" s="89">
        <f>'2022 Assembly'!O53</f>
        <v>17.49</v>
      </c>
      <c r="J53" s="89">
        <f t="shared" si="2"/>
        <v>-0.86</v>
      </c>
      <c r="K53" s="89">
        <f>'2017 Assembly'!P53</f>
        <v>76.16</v>
      </c>
      <c r="L53" s="91">
        <f>'2022 Assembly'!P53</f>
        <v>73.2</v>
      </c>
      <c r="M53" s="92">
        <f t="shared" si="3"/>
        <v>-2.96</v>
      </c>
      <c r="N53" s="93" t="str">
        <f>'LS Segments'!G52</f>
        <v>INC</v>
      </c>
      <c r="O53" s="94" t="str">
        <f>'LS Segments'!K52</f>
        <v>AAP</v>
      </c>
      <c r="P53" s="93" t="s">
        <v>32</v>
      </c>
      <c r="Q53" s="95"/>
      <c r="R53" s="93" t="s">
        <v>429</v>
      </c>
      <c r="S53" s="96" t="s">
        <v>428</v>
      </c>
    </row>
    <row r="54">
      <c r="A54" s="89">
        <v>51.0</v>
      </c>
      <c r="B54" s="90" t="s">
        <v>470</v>
      </c>
      <c r="C54" s="90" t="s">
        <v>469</v>
      </c>
      <c r="D54" s="90" t="s">
        <v>35</v>
      </c>
      <c r="E54" s="90" t="str">
        <f>'2017 Assembly'!G54</f>
        <v>INC</v>
      </c>
      <c r="F54" s="90" t="str">
        <f>'2022 Assembly'!G54:G170</f>
        <v>AAP</v>
      </c>
      <c r="G54" s="90" t="str">
        <f t="shared" si="1"/>
        <v>YES</v>
      </c>
      <c r="H54" s="89">
        <f>'2017 Assembly'!O54</f>
        <v>8.52</v>
      </c>
      <c r="I54" s="89">
        <f>'2022 Assembly'!O54</f>
        <v>5.41</v>
      </c>
      <c r="J54" s="89">
        <f t="shared" si="2"/>
        <v>-3.11</v>
      </c>
      <c r="K54" s="89">
        <f>'2017 Assembly'!P54</f>
        <v>77.29</v>
      </c>
      <c r="L54" s="91">
        <f>'2022 Assembly'!P54</f>
        <v>74.43</v>
      </c>
      <c r="M54" s="92">
        <f t="shared" si="3"/>
        <v>-2.86</v>
      </c>
      <c r="N54" s="93" t="str">
        <f>'LS Segments'!G53</f>
        <v>INC</v>
      </c>
      <c r="O54" s="94" t="str">
        <f>'LS Segments'!K53</f>
        <v>INC</v>
      </c>
      <c r="P54" s="93" t="s">
        <v>32</v>
      </c>
      <c r="Q54" s="95"/>
      <c r="R54" s="93" t="s">
        <v>424</v>
      </c>
      <c r="S54" s="96" t="s">
        <v>434</v>
      </c>
    </row>
    <row r="55">
      <c r="A55" s="89">
        <v>52.0</v>
      </c>
      <c r="B55" s="90" t="s">
        <v>471</v>
      </c>
      <c r="C55" s="90" t="s">
        <v>472</v>
      </c>
      <c r="D55" s="90" t="s">
        <v>35</v>
      </c>
      <c r="E55" s="90" t="str">
        <f>'2017 Assembly'!G55</f>
        <v>AAP</v>
      </c>
      <c r="F55" s="90" t="str">
        <f>'2022 Assembly'!G55:G171</f>
        <v>AAP</v>
      </c>
      <c r="G55" s="90" t="str">
        <f t="shared" si="1"/>
        <v>NO</v>
      </c>
      <c r="H55" s="89">
        <f>'2017 Assembly'!O55</f>
        <v>1.27</v>
      </c>
      <c r="I55" s="89">
        <f>'2022 Assembly'!O55</f>
        <v>21.53</v>
      </c>
      <c r="J55" s="89">
        <f t="shared" si="2"/>
        <v>20.26</v>
      </c>
      <c r="K55" s="89">
        <f>'2017 Assembly'!P55</f>
        <v>71.34</v>
      </c>
      <c r="L55" s="91">
        <f>'2022 Assembly'!P55</f>
        <v>66.13</v>
      </c>
      <c r="M55" s="92">
        <f t="shared" si="3"/>
        <v>-5.21</v>
      </c>
      <c r="N55" s="93" t="str">
        <f>'LS Segments'!G54</f>
        <v>INC</v>
      </c>
      <c r="O55" s="94" t="str">
        <f>'LS Segments'!K54</f>
        <v>INC</v>
      </c>
      <c r="P55" s="93" t="s">
        <v>32</v>
      </c>
      <c r="Q55" s="95"/>
      <c r="R55" s="93" t="s">
        <v>429</v>
      </c>
      <c r="S55" s="96" t="s">
        <v>434</v>
      </c>
    </row>
    <row r="56">
      <c r="A56" s="89">
        <v>53.0</v>
      </c>
      <c r="B56" s="90" t="s">
        <v>472</v>
      </c>
      <c r="C56" s="90" t="s">
        <v>472</v>
      </c>
      <c r="D56" s="90" t="s">
        <v>35</v>
      </c>
      <c r="E56" s="90" t="str">
        <f>'2017 Assembly'!G56</f>
        <v>INC</v>
      </c>
      <c r="F56" s="90" t="str">
        <f>'2022 Assembly'!G56:G172</f>
        <v>AAP</v>
      </c>
      <c r="G56" s="90" t="str">
        <f t="shared" si="1"/>
        <v>YES</v>
      </c>
      <c r="H56" s="89">
        <f>'2017 Assembly'!O56</f>
        <v>19.96</v>
      </c>
      <c r="I56" s="89">
        <f>'2022 Assembly'!O56</f>
        <v>22.14</v>
      </c>
      <c r="J56" s="89">
        <f t="shared" si="2"/>
        <v>2.18</v>
      </c>
      <c r="K56" s="89">
        <f>'2017 Assembly'!P56</f>
        <v>66.68</v>
      </c>
      <c r="L56" s="91">
        <f>'2022 Assembly'!P56</f>
        <v>64.84</v>
      </c>
      <c r="M56" s="92">
        <f t="shared" si="3"/>
        <v>-1.84</v>
      </c>
      <c r="N56" s="93" t="str">
        <f>'LS Segments'!G55</f>
        <v>INC</v>
      </c>
      <c r="O56" s="94" t="str">
        <f>'LS Segments'!K55</f>
        <v>INC</v>
      </c>
      <c r="P56" s="93" t="s">
        <v>32</v>
      </c>
      <c r="Q56" s="95"/>
      <c r="R56" s="93" t="s">
        <v>424</v>
      </c>
      <c r="S56" s="96" t="s">
        <v>434</v>
      </c>
    </row>
    <row r="57">
      <c r="A57" s="89">
        <v>54.0</v>
      </c>
      <c r="B57" s="90" t="s">
        <v>473</v>
      </c>
      <c r="C57" s="90" t="s">
        <v>475</v>
      </c>
      <c r="D57" s="90" t="s">
        <v>35</v>
      </c>
      <c r="E57" s="90" t="str">
        <f>'2017 Assembly'!G57</f>
        <v>INC</v>
      </c>
      <c r="F57" s="90" t="str">
        <f>'2022 Assembly'!G57:G173</f>
        <v>AAP</v>
      </c>
      <c r="G57" s="90" t="str">
        <f t="shared" si="1"/>
        <v>YES</v>
      </c>
      <c r="H57" s="89">
        <f>'2017 Assembly'!O57</f>
        <v>8.88</v>
      </c>
      <c r="I57" s="89">
        <f>'2022 Assembly'!O57</f>
        <v>33.98</v>
      </c>
      <c r="J57" s="89">
        <f t="shared" si="2"/>
        <v>25.1</v>
      </c>
      <c r="K57" s="89">
        <f>'2017 Assembly'!P57</f>
        <v>79.17</v>
      </c>
      <c r="L57" s="91">
        <f>'2022 Assembly'!P57</f>
        <v>74.84</v>
      </c>
      <c r="M57" s="92">
        <f t="shared" si="3"/>
        <v>-4.33</v>
      </c>
      <c r="N57" s="93" t="str">
        <f>'LS Segments'!G56</f>
        <v>INC</v>
      </c>
      <c r="O57" s="94" t="str">
        <f>'LS Segments'!K56</f>
        <v>AAP</v>
      </c>
      <c r="P57" s="93" t="s">
        <v>32</v>
      </c>
      <c r="Q57" s="95"/>
      <c r="R57" s="93" t="s">
        <v>424</v>
      </c>
      <c r="S57" s="96" t="s">
        <v>428</v>
      </c>
    </row>
    <row r="58">
      <c r="A58" s="89">
        <v>55.0</v>
      </c>
      <c r="B58" s="90" t="s">
        <v>475</v>
      </c>
      <c r="C58" s="90" t="s">
        <v>475</v>
      </c>
      <c r="D58" s="90" t="s">
        <v>35</v>
      </c>
      <c r="E58" s="90" t="str">
        <f>'2017 Assembly'!G58</f>
        <v>INC</v>
      </c>
      <c r="F58" s="90" t="str">
        <f>'2022 Assembly'!G58:G174</f>
        <v>AAP</v>
      </c>
      <c r="G58" s="90" t="str">
        <f t="shared" si="1"/>
        <v>YES</v>
      </c>
      <c r="H58" s="89">
        <f>'2017 Assembly'!O58</f>
        <v>19.25</v>
      </c>
      <c r="I58" s="89">
        <f>'2022 Assembly'!O58</f>
        <v>25.81</v>
      </c>
      <c r="J58" s="89">
        <f t="shared" si="2"/>
        <v>6.56</v>
      </c>
      <c r="K58" s="89">
        <f>'2017 Assembly'!P58</f>
        <v>82.81</v>
      </c>
      <c r="L58" s="91">
        <f>'2022 Assembly'!P58</f>
        <v>77.38</v>
      </c>
      <c r="M58" s="92">
        <f t="shared" si="3"/>
        <v>-5.43</v>
      </c>
      <c r="N58" s="93" t="str">
        <f>'LS Segments'!G57</f>
        <v>INC</v>
      </c>
      <c r="O58" s="94" t="str">
        <f>'LS Segments'!K57</f>
        <v>AAP</v>
      </c>
      <c r="P58" s="93" t="s">
        <v>32</v>
      </c>
      <c r="Q58" s="95"/>
      <c r="R58" s="93" t="s">
        <v>424</v>
      </c>
      <c r="S58" s="96" t="s">
        <v>428</v>
      </c>
    </row>
    <row r="59">
      <c r="A59" s="89">
        <v>56.0</v>
      </c>
      <c r="B59" s="90" t="s">
        <v>476</v>
      </c>
      <c r="C59" s="90" t="s">
        <v>475</v>
      </c>
      <c r="D59" s="90" t="s">
        <v>35</v>
      </c>
      <c r="E59" s="90" t="str">
        <f>'2017 Assembly'!G59</f>
        <v>INC</v>
      </c>
      <c r="F59" s="90" t="str">
        <f>'2022 Assembly'!G59:G175</f>
        <v>AAP</v>
      </c>
      <c r="G59" s="90" t="str">
        <f t="shared" si="1"/>
        <v>YES</v>
      </c>
      <c r="H59" s="89">
        <f>'2017 Assembly'!O59</f>
        <v>3.5</v>
      </c>
      <c r="I59" s="89">
        <f>'2022 Assembly'!O59</f>
        <v>21.74</v>
      </c>
      <c r="J59" s="89">
        <f t="shared" si="2"/>
        <v>18.24</v>
      </c>
      <c r="K59" s="89">
        <f>'2017 Assembly'!P59</f>
        <v>83.09</v>
      </c>
      <c r="L59" s="91">
        <f>'2022 Assembly'!P59</f>
        <v>78.74</v>
      </c>
      <c r="M59" s="92">
        <f t="shared" si="3"/>
        <v>-4.35</v>
      </c>
      <c r="N59" s="93" t="str">
        <f>'LS Segments'!G58</f>
        <v>INC</v>
      </c>
      <c r="O59" s="94" t="str">
        <f>'LS Segments'!K58</f>
        <v>INC</v>
      </c>
      <c r="P59" s="93" t="s">
        <v>32</v>
      </c>
      <c r="Q59" s="95"/>
      <c r="R59" s="93" t="s">
        <v>424</v>
      </c>
      <c r="S59" s="96" t="s">
        <v>434</v>
      </c>
    </row>
    <row r="60">
      <c r="A60" s="89">
        <v>57.0</v>
      </c>
      <c r="B60" s="90" t="s">
        <v>477</v>
      </c>
      <c r="C60" s="90" t="s">
        <v>519</v>
      </c>
      <c r="D60" s="90" t="s">
        <v>35</v>
      </c>
      <c r="E60" s="90" t="str">
        <f>'2017 Assembly'!G60</f>
        <v>INC</v>
      </c>
      <c r="F60" s="90" t="str">
        <f>'2022 Assembly'!G60:G176</f>
        <v>AAP</v>
      </c>
      <c r="G60" s="90" t="str">
        <f t="shared" si="1"/>
        <v>YES</v>
      </c>
      <c r="H60" s="89">
        <f>'2017 Assembly'!O60</f>
        <v>16.38</v>
      </c>
      <c r="I60" s="89">
        <f>'2022 Assembly'!O60</f>
        <v>27.85</v>
      </c>
      <c r="J60" s="89">
        <f t="shared" si="2"/>
        <v>11.47</v>
      </c>
      <c r="K60" s="89">
        <f>'2017 Assembly'!P60</f>
        <v>78.43</v>
      </c>
      <c r="L60" s="91">
        <f>'2022 Assembly'!P60</f>
        <v>74.75</v>
      </c>
      <c r="M60" s="92">
        <f t="shared" si="3"/>
        <v>-3.68</v>
      </c>
      <c r="N60" s="93" t="str">
        <f>'LS Segments'!G59</f>
        <v>INC</v>
      </c>
      <c r="O60" s="94" t="str">
        <f>'LS Segments'!K59</f>
        <v>AAP</v>
      </c>
      <c r="P60" s="93" t="s">
        <v>32</v>
      </c>
      <c r="Q60" s="95"/>
      <c r="R60" s="93" t="s">
        <v>424</v>
      </c>
      <c r="S60" s="96" t="s">
        <v>428</v>
      </c>
    </row>
    <row r="61">
      <c r="A61" s="89">
        <v>58.0</v>
      </c>
      <c r="B61" s="90" t="s">
        <v>478</v>
      </c>
      <c r="C61" s="90" t="s">
        <v>519</v>
      </c>
      <c r="D61" s="90" t="s">
        <v>35</v>
      </c>
      <c r="E61" s="90" t="str">
        <f>'2017 Assembly'!G61</f>
        <v>INC</v>
      </c>
      <c r="F61" s="90" t="str">
        <f>'2022 Assembly'!G61:G177</f>
        <v>AAP</v>
      </c>
      <c r="G61" s="90" t="str">
        <f t="shared" si="1"/>
        <v>YES</v>
      </c>
      <c r="H61" s="89">
        <f>'2017 Assembly'!O61</f>
        <v>8.22</v>
      </c>
      <c r="I61" s="89">
        <f>'2022 Assembly'!O61</f>
        <v>23.3</v>
      </c>
      <c r="J61" s="89">
        <f t="shared" si="2"/>
        <v>15.08</v>
      </c>
      <c r="K61" s="89">
        <f>'2017 Assembly'!P61</f>
        <v>80.01</v>
      </c>
      <c r="L61" s="91">
        <f>'2022 Assembly'!P61</f>
        <v>75.65</v>
      </c>
      <c r="M61" s="92">
        <f t="shared" si="3"/>
        <v>-4.36</v>
      </c>
      <c r="N61" s="93" t="str">
        <f>'LS Segments'!G60</f>
        <v>INC</v>
      </c>
      <c r="O61" s="94" t="str">
        <f>'LS Segments'!K60</f>
        <v>INC</v>
      </c>
      <c r="P61" s="93" t="s">
        <v>32</v>
      </c>
      <c r="Q61" s="95"/>
      <c r="R61" s="93" t="s">
        <v>424</v>
      </c>
      <c r="S61" s="96" t="s">
        <v>434</v>
      </c>
    </row>
    <row r="62">
      <c r="A62" s="89">
        <v>59.0</v>
      </c>
      <c r="B62" s="90" t="s">
        <v>320</v>
      </c>
      <c r="C62" s="90" t="s">
        <v>519</v>
      </c>
      <c r="D62" s="90" t="s">
        <v>35</v>
      </c>
      <c r="E62" s="90" t="str">
        <f>'2017 Assembly'!G62</f>
        <v>SAD</v>
      </c>
      <c r="F62" s="90" t="str">
        <f>'2022 Assembly'!G62:G178</f>
        <v>AAP</v>
      </c>
      <c r="G62" s="90" t="str">
        <f t="shared" si="1"/>
        <v>YES</v>
      </c>
      <c r="H62" s="89">
        <f>'2017 Assembly'!O62</f>
        <v>2.74</v>
      </c>
      <c r="I62" s="89">
        <f>'2022 Assembly'!O62</f>
        <v>8.51</v>
      </c>
      <c r="J62" s="89">
        <f t="shared" si="2"/>
        <v>5.77</v>
      </c>
      <c r="K62" s="89">
        <f>'2017 Assembly'!P62</f>
        <v>75.49</v>
      </c>
      <c r="L62" s="91">
        <f>'2022 Assembly'!P62</f>
        <v>67.52</v>
      </c>
      <c r="M62" s="92">
        <f t="shared" si="3"/>
        <v>-7.97</v>
      </c>
      <c r="N62" s="93" t="str">
        <f>'LS Segments'!G61</f>
        <v>SAD</v>
      </c>
      <c r="O62" s="94" t="str">
        <f>'LS Segments'!K61</f>
        <v>INC</v>
      </c>
      <c r="P62" s="93" t="s">
        <v>32</v>
      </c>
      <c r="Q62" s="95"/>
      <c r="R62" s="93" t="s">
        <v>424</v>
      </c>
      <c r="S62" s="96" t="s">
        <v>434</v>
      </c>
    </row>
    <row r="63">
      <c r="A63" s="89">
        <v>60.0</v>
      </c>
      <c r="B63" s="90" t="s">
        <v>479</v>
      </c>
      <c r="C63" s="90" t="s">
        <v>519</v>
      </c>
      <c r="D63" s="90" t="s">
        <v>35</v>
      </c>
      <c r="E63" s="90" t="str">
        <f>'2017 Assembly'!G63</f>
        <v>INC</v>
      </c>
      <c r="F63" s="90" t="str">
        <f>'2022 Assembly'!G63:G179</f>
        <v>AAP</v>
      </c>
      <c r="G63" s="90" t="str">
        <f t="shared" si="1"/>
        <v>YES</v>
      </c>
      <c r="H63" s="89">
        <f>'2017 Assembly'!O63</f>
        <v>1.22</v>
      </c>
      <c r="I63" s="89">
        <f>'2022 Assembly'!O63</f>
        <v>25</v>
      </c>
      <c r="J63" s="89">
        <f t="shared" si="2"/>
        <v>23.78</v>
      </c>
      <c r="K63" s="89">
        <f>'2017 Assembly'!P63</f>
        <v>70.87</v>
      </c>
      <c r="L63" s="91">
        <f>'2022 Assembly'!P63</f>
        <v>66.34</v>
      </c>
      <c r="M63" s="92">
        <f t="shared" si="3"/>
        <v>-4.53</v>
      </c>
      <c r="N63" s="93" t="str">
        <f>'LS Segments'!G62</f>
        <v>INC</v>
      </c>
      <c r="O63" s="94" t="str">
        <f>'LS Segments'!K62</f>
        <v>BJP</v>
      </c>
      <c r="P63" s="93" t="s">
        <v>32</v>
      </c>
      <c r="Q63" s="95"/>
      <c r="R63" s="93" t="s">
        <v>424</v>
      </c>
      <c r="S63" s="96" t="s">
        <v>425</v>
      </c>
    </row>
    <row r="64">
      <c r="A64" s="89">
        <v>61.0</v>
      </c>
      <c r="B64" s="90" t="s">
        <v>481</v>
      </c>
      <c r="C64" s="90" t="s">
        <v>519</v>
      </c>
      <c r="D64" s="90" t="s">
        <v>35</v>
      </c>
      <c r="E64" s="90" t="str">
        <f>'2017 Assembly'!G64</f>
        <v>LIP</v>
      </c>
      <c r="F64" s="90" t="str">
        <f>'2022 Assembly'!G64:G180</f>
        <v>AAP</v>
      </c>
      <c r="G64" s="90" t="str">
        <f t="shared" si="1"/>
        <v>YES</v>
      </c>
      <c r="H64" s="89">
        <f>'2017 Assembly'!O64</f>
        <v>30.68</v>
      </c>
      <c r="I64" s="89">
        <f>'2022 Assembly'!O64</f>
        <v>24.92</v>
      </c>
      <c r="J64" s="89">
        <f t="shared" si="2"/>
        <v>-5.76</v>
      </c>
      <c r="K64" s="89">
        <f>'2017 Assembly'!P64</f>
        <v>67.37</v>
      </c>
      <c r="L64" s="91">
        <f>'2022 Assembly'!P64</f>
        <v>59.13</v>
      </c>
      <c r="M64" s="92">
        <f t="shared" si="3"/>
        <v>-8.24</v>
      </c>
      <c r="N64" s="93" t="str">
        <f>'LS Segments'!G63</f>
        <v>LIP</v>
      </c>
      <c r="O64" s="94" t="str">
        <f>'LS Segments'!K63</f>
        <v>BJP</v>
      </c>
      <c r="P64" s="93" t="s">
        <v>32</v>
      </c>
      <c r="Q64" s="95"/>
      <c r="R64" s="93" t="s">
        <v>424</v>
      </c>
      <c r="S64" s="96" t="s">
        <v>425</v>
      </c>
    </row>
    <row r="65">
      <c r="A65" s="89">
        <v>62.0</v>
      </c>
      <c r="B65" s="90" t="s">
        <v>482</v>
      </c>
      <c r="C65" s="90" t="s">
        <v>519</v>
      </c>
      <c r="D65" s="90" t="s">
        <v>35</v>
      </c>
      <c r="E65" s="90" t="str">
        <f>'2017 Assembly'!G65</f>
        <v>LIP</v>
      </c>
      <c r="F65" s="90" t="str">
        <f>'2022 Assembly'!G65:G181</f>
        <v>AAP</v>
      </c>
      <c r="G65" s="90" t="str">
        <f t="shared" si="1"/>
        <v>YES</v>
      </c>
      <c r="H65" s="89">
        <f>'2017 Assembly'!O65</f>
        <v>15.93</v>
      </c>
      <c r="I65" s="89">
        <f>'2022 Assembly'!O65</f>
        <v>15.68</v>
      </c>
      <c r="J65" s="89">
        <f t="shared" si="2"/>
        <v>-0.25</v>
      </c>
      <c r="K65" s="89">
        <f>'2017 Assembly'!P65</f>
        <v>67.37</v>
      </c>
      <c r="L65" s="91">
        <f>'2022 Assembly'!P65</f>
        <v>61.56</v>
      </c>
      <c r="M65" s="92">
        <f t="shared" si="3"/>
        <v>-5.81</v>
      </c>
      <c r="N65" s="93" t="str">
        <f>'LS Segments'!G64</f>
        <v>LIP</v>
      </c>
      <c r="O65" s="94" t="str">
        <f>'LS Segments'!K64</f>
        <v>INC</v>
      </c>
      <c r="P65" s="93" t="s">
        <v>32</v>
      </c>
      <c r="Q65" s="95"/>
      <c r="R65" s="93" t="s">
        <v>424</v>
      </c>
      <c r="S65" s="96" t="s">
        <v>434</v>
      </c>
    </row>
    <row r="66">
      <c r="A66" s="89">
        <v>63.0</v>
      </c>
      <c r="B66" s="90" t="s">
        <v>303</v>
      </c>
      <c r="C66" s="90" t="s">
        <v>519</v>
      </c>
      <c r="D66" s="90" t="s">
        <v>35</v>
      </c>
      <c r="E66" s="90" t="str">
        <f>'2017 Assembly'!G66</f>
        <v>INC</v>
      </c>
      <c r="F66" s="90" t="str">
        <f>'2022 Assembly'!G66:G182</f>
        <v>AAP</v>
      </c>
      <c r="G66" s="90" t="str">
        <f t="shared" si="1"/>
        <v>YES</v>
      </c>
      <c r="H66" s="89">
        <f>'2017 Assembly'!O66</f>
        <v>20.09</v>
      </c>
      <c r="I66" s="89">
        <f>'2022 Assembly'!O66</f>
        <v>4.92</v>
      </c>
      <c r="J66" s="89">
        <f t="shared" si="2"/>
        <v>-15.17</v>
      </c>
      <c r="K66" s="89">
        <f>'2017 Assembly'!P66</f>
        <v>69.05</v>
      </c>
      <c r="L66" s="91">
        <f>'2022 Assembly'!P66</f>
        <v>61.92</v>
      </c>
      <c r="M66" s="92">
        <f t="shared" si="3"/>
        <v>-7.13</v>
      </c>
      <c r="N66" s="93" t="str">
        <f>'LS Segments'!G65</f>
        <v>INC</v>
      </c>
      <c r="O66" s="94" t="str">
        <f>'LS Segments'!K65</f>
        <v>BJP</v>
      </c>
      <c r="P66" s="93" t="s">
        <v>32</v>
      </c>
      <c r="Q66" s="95"/>
      <c r="R66" s="93" t="s">
        <v>424</v>
      </c>
      <c r="S66" s="96" t="s">
        <v>425</v>
      </c>
    </row>
    <row r="67">
      <c r="A67" s="89">
        <v>64.0</v>
      </c>
      <c r="B67" s="90" t="s">
        <v>220</v>
      </c>
      <c r="C67" s="90" t="s">
        <v>519</v>
      </c>
      <c r="D67" s="90" t="s">
        <v>35</v>
      </c>
      <c r="E67" s="90" t="str">
        <f>'2017 Assembly'!G67</f>
        <v>INC</v>
      </c>
      <c r="F67" s="90" t="str">
        <f>'2022 Assembly'!G67:G183</f>
        <v>AAP</v>
      </c>
      <c r="G67" s="90" t="str">
        <f t="shared" si="1"/>
        <v>YES</v>
      </c>
      <c r="H67" s="89">
        <f>'2017 Assembly'!O67</f>
        <v>30.07</v>
      </c>
      <c r="I67" s="89">
        <f>'2022 Assembly'!O67</f>
        <v>6.47</v>
      </c>
      <c r="J67" s="89">
        <f t="shared" si="2"/>
        <v>-23.6</v>
      </c>
      <c r="K67" s="89">
        <f>'2017 Assembly'!P67</f>
        <v>68.65</v>
      </c>
      <c r="L67" s="91">
        <f>'2022 Assembly'!P67</f>
        <v>64.29</v>
      </c>
      <c r="M67" s="92">
        <f t="shared" si="3"/>
        <v>-4.36</v>
      </c>
      <c r="N67" s="93" t="str">
        <f>'LS Segments'!G66</f>
        <v>INC</v>
      </c>
      <c r="O67" s="94" t="str">
        <f>'LS Segments'!K66</f>
        <v>BJP</v>
      </c>
      <c r="P67" s="93" t="s">
        <v>32</v>
      </c>
      <c r="Q67" s="99" t="s">
        <v>221</v>
      </c>
      <c r="R67" s="93" t="s">
        <v>424</v>
      </c>
      <c r="S67" s="96" t="s">
        <v>425</v>
      </c>
    </row>
    <row r="68">
      <c r="A68" s="89">
        <v>65.0</v>
      </c>
      <c r="B68" s="90" t="s">
        <v>483</v>
      </c>
      <c r="C68" s="90" t="s">
        <v>519</v>
      </c>
      <c r="D68" s="90" t="s">
        <v>35</v>
      </c>
      <c r="E68" s="90" t="str">
        <f>'2017 Assembly'!G68</f>
        <v>INC</v>
      </c>
      <c r="F68" s="90" t="str">
        <f>'2022 Assembly'!G68:G184</f>
        <v>AAP</v>
      </c>
      <c r="G68" s="90" t="str">
        <f t="shared" si="1"/>
        <v>YES</v>
      </c>
      <c r="H68" s="89">
        <f>'2017 Assembly'!O68</f>
        <v>4.16</v>
      </c>
      <c r="I68" s="89">
        <f>'2022 Assembly'!O68</f>
        <v>12.23</v>
      </c>
      <c r="J68" s="89">
        <f t="shared" si="2"/>
        <v>8.07</v>
      </c>
      <c r="K68" s="89">
        <f>'2017 Assembly'!P68</f>
        <v>67.75</v>
      </c>
      <c r="L68" s="91">
        <f>'2022 Assembly'!P68</f>
        <v>61.38</v>
      </c>
      <c r="M68" s="92">
        <f t="shared" si="3"/>
        <v>-6.37</v>
      </c>
      <c r="N68" s="93" t="str">
        <f>'LS Segments'!G67</f>
        <v>INC</v>
      </c>
      <c r="O68" s="94" t="str">
        <f>'LS Segments'!K67</f>
        <v>BJP</v>
      </c>
      <c r="P68" s="93" t="s">
        <v>32</v>
      </c>
      <c r="Q68" s="95"/>
      <c r="R68" s="93" t="s">
        <v>424</v>
      </c>
      <c r="S68" s="96" t="s">
        <v>425</v>
      </c>
    </row>
    <row r="69">
      <c r="A69" s="89">
        <v>66.0</v>
      </c>
      <c r="B69" s="90" t="s">
        <v>485</v>
      </c>
      <c r="C69" s="90" t="s">
        <v>519</v>
      </c>
      <c r="D69" s="90" t="s">
        <v>35</v>
      </c>
      <c r="E69" s="90" t="str">
        <f>'2017 Assembly'!G69</f>
        <v>INC</v>
      </c>
      <c r="F69" s="90" t="str">
        <f>'2022 Assembly'!G69:G185</f>
        <v>AAP</v>
      </c>
      <c r="G69" s="90" t="str">
        <f t="shared" si="1"/>
        <v>YES</v>
      </c>
      <c r="H69" s="89">
        <f>'2017 Assembly'!O69</f>
        <v>4.81</v>
      </c>
      <c r="I69" s="89">
        <f>'2022 Assembly'!O69</f>
        <v>31.59</v>
      </c>
      <c r="J69" s="89">
        <f t="shared" si="2"/>
        <v>26.78</v>
      </c>
      <c r="K69" s="89">
        <f>'2017 Assembly'!P69</f>
        <v>75.09</v>
      </c>
      <c r="L69" s="91">
        <f>'2022 Assembly'!P69</f>
        <v>67.32</v>
      </c>
      <c r="M69" s="92">
        <f t="shared" si="3"/>
        <v>-7.77</v>
      </c>
      <c r="N69" s="93" t="str">
        <f>'LS Segments'!G68</f>
        <v>LIP</v>
      </c>
      <c r="O69" s="94" t="str">
        <f>'LS Segments'!K68</f>
        <v>INC</v>
      </c>
      <c r="P69" s="93" t="s">
        <v>32</v>
      </c>
      <c r="Q69" s="95"/>
      <c r="R69" s="93" t="s">
        <v>424</v>
      </c>
      <c r="S69" s="96" t="s">
        <v>434</v>
      </c>
    </row>
    <row r="70">
      <c r="A70" s="89">
        <v>67.0</v>
      </c>
      <c r="B70" s="90" t="s">
        <v>486</v>
      </c>
      <c r="C70" s="90" t="s">
        <v>519</v>
      </c>
      <c r="D70" s="90" t="s">
        <v>35</v>
      </c>
      <c r="E70" s="90" t="str">
        <f>'2017 Assembly'!G70</f>
        <v>INC</v>
      </c>
      <c r="F70" s="90" t="str">
        <f>'2022 Assembly'!G70:G186</f>
        <v>AAP</v>
      </c>
      <c r="G70" s="90" t="str">
        <f t="shared" si="1"/>
        <v>YES</v>
      </c>
      <c r="H70" s="89">
        <f>'2017 Assembly'!O70</f>
        <v>16.44</v>
      </c>
      <c r="I70" s="89">
        <f>'2022 Assembly'!O70</f>
        <v>26.14</v>
      </c>
      <c r="J70" s="89">
        <f t="shared" si="2"/>
        <v>9.7</v>
      </c>
      <c r="K70" s="89">
        <f>'2017 Assembly'!P70</f>
        <v>81.89</v>
      </c>
      <c r="L70" s="91">
        <f>'2022 Assembly'!P70</f>
        <v>76.26</v>
      </c>
      <c r="M70" s="92">
        <f t="shared" si="3"/>
        <v>-5.63</v>
      </c>
      <c r="N70" s="93" t="str">
        <f>'LS Segments'!G69</f>
        <v>INC</v>
      </c>
      <c r="O70" s="94" t="str">
        <f>'LS Segments'!K69</f>
        <v>INC</v>
      </c>
      <c r="P70" s="93" t="s">
        <v>32</v>
      </c>
      <c r="Q70" s="95"/>
      <c r="R70" s="93" t="s">
        <v>424</v>
      </c>
      <c r="S70" s="96" t="s">
        <v>434</v>
      </c>
    </row>
    <row r="71">
      <c r="A71" s="89">
        <v>68.0</v>
      </c>
      <c r="B71" s="90" t="s">
        <v>34</v>
      </c>
      <c r="C71" s="90" t="s">
        <v>519</v>
      </c>
      <c r="D71" s="90" t="s">
        <v>35</v>
      </c>
      <c r="E71" s="90" t="str">
        <f>'2017 Assembly'!G71</f>
        <v>AAP</v>
      </c>
      <c r="F71" s="90" t="str">
        <f>'2022 Assembly'!G71:G187</f>
        <v>SAD</v>
      </c>
      <c r="G71" s="90" t="str">
        <f t="shared" si="1"/>
        <v>YES</v>
      </c>
      <c r="H71" s="89">
        <f>'2017 Assembly'!O71</f>
        <v>2.87</v>
      </c>
      <c r="I71" s="89">
        <f>'2022 Assembly'!O71</f>
        <v>4.1</v>
      </c>
      <c r="J71" s="89">
        <f t="shared" si="2"/>
        <v>1.23</v>
      </c>
      <c r="K71" s="89">
        <f>'2017 Assembly'!P71</f>
        <v>80.93</v>
      </c>
      <c r="L71" s="91">
        <f>'2022 Assembly'!P71</f>
        <v>75.73</v>
      </c>
      <c r="M71" s="92">
        <f t="shared" si="3"/>
        <v>-5.2</v>
      </c>
      <c r="N71" s="93" t="str">
        <f>'LS Segments'!G70</f>
        <v>LIP</v>
      </c>
      <c r="O71" s="94" t="str">
        <f>'LS Segments'!K70</f>
        <v>INC</v>
      </c>
      <c r="P71" s="93" t="s">
        <v>287</v>
      </c>
      <c r="Q71" s="93" t="s">
        <v>552</v>
      </c>
      <c r="R71" s="93" t="s">
        <v>443</v>
      </c>
      <c r="S71" s="96" t="s">
        <v>434</v>
      </c>
    </row>
    <row r="72">
      <c r="A72" s="89">
        <v>69.0</v>
      </c>
      <c r="B72" s="90" t="s">
        <v>489</v>
      </c>
      <c r="C72" s="90" t="s">
        <v>519</v>
      </c>
      <c r="D72" s="90" t="s">
        <v>35</v>
      </c>
      <c r="E72" s="90" t="str">
        <f>'2017 Assembly'!G72</f>
        <v>AAP</v>
      </c>
      <c r="F72" s="90" t="str">
        <f>'2022 Assembly'!G72:G188</f>
        <v>AAP</v>
      </c>
      <c r="G72" s="90" t="str">
        <f t="shared" si="1"/>
        <v>NO</v>
      </c>
      <c r="H72" s="89">
        <f>'2017 Assembly'!O72</f>
        <v>9.07</v>
      </c>
      <c r="I72" s="89">
        <f>'2022 Assembly'!O72</f>
        <v>24.6</v>
      </c>
      <c r="J72" s="89">
        <f t="shared" si="2"/>
        <v>15.53</v>
      </c>
      <c r="K72" s="89">
        <f>'2017 Assembly'!P72</f>
        <v>77.81</v>
      </c>
      <c r="L72" s="91">
        <f>'2022 Assembly'!P72</f>
        <v>72.27</v>
      </c>
      <c r="M72" s="92">
        <f t="shared" si="3"/>
        <v>-5.54</v>
      </c>
      <c r="N72" s="93" t="str">
        <f>'LS Segments'!G71</f>
        <v>INC</v>
      </c>
      <c r="O72" s="94" t="str">
        <f>'LS Segments'!K71</f>
        <v>INC</v>
      </c>
      <c r="P72" s="93" t="s">
        <v>32</v>
      </c>
      <c r="Q72" s="95"/>
      <c r="R72" s="93" t="s">
        <v>429</v>
      </c>
      <c r="S72" s="96" t="s">
        <v>434</v>
      </c>
    </row>
    <row r="73">
      <c r="A73" s="89">
        <v>70.0</v>
      </c>
      <c r="B73" s="90" t="s">
        <v>491</v>
      </c>
      <c r="C73" s="90" t="s">
        <v>519</v>
      </c>
      <c r="D73" s="90" t="s">
        <v>35</v>
      </c>
      <c r="E73" s="90" t="str">
        <f>'2017 Assembly'!G73</f>
        <v>AAP</v>
      </c>
      <c r="F73" s="90" t="str">
        <f>'2022 Assembly'!G73:G189</f>
        <v>AAP</v>
      </c>
      <c r="G73" s="90" t="str">
        <f t="shared" si="1"/>
        <v>NO</v>
      </c>
      <c r="H73" s="89">
        <f>'2017 Assembly'!O73</f>
        <v>18.99</v>
      </c>
      <c r="I73" s="89">
        <f>'2022 Assembly'!O73</f>
        <v>31.87</v>
      </c>
      <c r="J73" s="89">
        <f t="shared" si="2"/>
        <v>12.88</v>
      </c>
      <c r="K73" s="89">
        <f>'2017 Assembly'!P73</f>
        <v>76.62</v>
      </c>
      <c r="L73" s="91">
        <f>'2022 Assembly'!P73</f>
        <v>67.7</v>
      </c>
      <c r="M73" s="92">
        <f t="shared" si="3"/>
        <v>-8.92</v>
      </c>
      <c r="N73" s="93" t="str">
        <f>'LS Segments'!G72</f>
        <v>INC</v>
      </c>
      <c r="O73" s="94" t="str">
        <f>'LS Segments'!K72</f>
        <v>INC</v>
      </c>
      <c r="P73" s="93" t="s">
        <v>32</v>
      </c>
      <c r="Q73" s="95"/>
      <c r="R73" s="93" t="s">
        <v>429</v>
      </c>
      <c r="S73" s="96" t="s">
        <v>434</v>
      </c>
    </row>
    <row r="74">
      <c r="A74" s="89">
        <v>71.0</v>
      </c>
      <c r="B74" s="90" t="s">
        <v>493</v>
      </c>
      <c r="C74" s="90" t="s">
        <v>495</v>
      </c>
      <c r="D74" s="90" t="s">
        <v>35</v>
      </c>
      <c r="E74" s="90" t="str">
        <f>'2017 Assembly'!G74</f>
        <v>AAP</v>
      </c>
      <c r="F74" s="90" t="str">
        <f>'2022 Assembly'!G74:G190</f>
        <v>AAP</v>
      </c>
      <c r="G74" s="90" t="str">
        <f t="shared" si="1"/>
        <v>NO</v>
      </c>
      <c r="H74" s="89">
        <f>'2017 Assembly'!O74</f>
        <v>18.34</v>
      </c>
      <c r="I74" s="89">
        <f>'2022 Assembly'!O74</f>
        <v>27.07</v>
      </c>
      <c r="J74" s="89">
        <f t="shared" si="2"/>
        <v>8.73</v>
      </c>
      <c r="K74" s="89">
        <f>'2017 Assembly'!P74</f>
        <v>78.16</v>
      </c>
      <c r="L74" s="91">
        <f>'2022 Assembly'!P74</f>
        <v>71.08</v>
      </c>
      <c r="M74" s="92">
        <f t="shared" si="3"/>
        <v>-7.08</v>
      </c>
      <c r="N74" s="93" t="str">
        <f>'LS Segments'!G73</f>
        <v>INC</v>
      </c>
      <c r="O74" s="94" t="str">
        <f>'LS Segments'!K73</f>
        <v>IND</v>
      </c>
      <c r="P74" s="93" t="s">
        <v>32</v>
      </c>
      <c r="Q74" s="95"/>
      <c r="R74" s="93" t="s">
        <v>429</v>
      </c>
      <c r="S74" s="96" t="s">
        <v>446</v>
      </c>
    </row>
    <row r="75">
      <c r="A75" s="89">
        <v>72.0</v>
      </c>
      <c r="B75" s="90" t="s">
        <v>494</v>
      </c>
      <c r="C75" s="90" t="s">
        <v>495</v>
      </c>
      <c r="D75" s="90" t="s">
        <v>35</v>
      </c>
      <c r="E75" s="90" t="str">
        <f>'2017 Assembly'!G75</f>
        <v>INC</v>
      </c>
      <c r="F75" s="90" t="str">
        <f>'2022 Assembly'!G75:G191</f>
        <v>AAP</v>
      </c>
      <c r="G75" s="90" t="str">
        <f t="shared" si="1"/>
        <v>YES</v>
      </c>
      <c r="H75" s="89">
        <f>'2017 Assembly'!O75</f>
        <v>5.29</v>
      </c>
      <c r="I75" s="89">
        <f>'2022 Assembly'!O75</f>
        <v>25.56</v>
      </c>
      <c r="J75" s="89">
        <f t="shared" si="2"/>
        <v>20.27</v>
      </c>
      <c r="K75" s="89">
        <f>'2017 Assembly'!P75</f>
        <v>81.45</v>
      </c>
      <c r="L75" s="91">
        <f>'2022 Assembly'!P75</f>
        <v>77.08</v>
      </c>
      <c r="M75" s="92">
        <f t="shared" si="3"/>
        <v>-4.37</v>
      </c>
      <c r="N75" s="93" t="str">
        <f>'LS Segments'!G74</f>
        <v>INC</v>
      </c>
      <c r="O75" s="94" t="str">
        <f>'LS Segments'!K74</f>
        <v>IND</v>
      </c>
      <c r="P75" s="93" t="s">
        <v>32</v>
      </c>
      <c r="Q75" s="95"/>
      <c r="R75" s="93" t="s">
        <v>424</v>
      </c>
      <c r="S75" s="96" t="s">
        <v>446</v>
      </c>
    </row>
    <row r="76">
      <c r="A76" s="89">
        <v>73.0</v>
      </c>
      <c r="B76" s="90" t="s">
        <v>495</v>
      </c>
      <c r="C76" s="90" t="s">
        <v>495</v>
      </c>
      <c r="D76" s="90" t="s">
        <v>35</v>
      </c>
      <c r="E76" s="90" t="str">
        <f>'2017 Assembly'!G76</f>
        <v>INC</v>
      </c>
      <c r="F76" s="90" t="str">
        <f>'2022 Assembly'!G76:G192</f>
        <v>AAP</v>
      </c>
      <c r="G76" s="90" t="str">
        <f t="shared" si="1"/>
        <v>YES</v>
      </c>
      <c r="H76" s="89">
        <f>'2017 Assembly'!O76</f>
        <v>1.22</v>
      </c>
      <c r="I76" s="89">
        <f>'2022 Assembly'!O76</f>
        <v>14.59</v>
      </c>
      <c r="J76" s="89">
        <f t="shared" si="2"/>
        <v>13.37</v>
      </c>
      <c r="K76" s="89">
        <f>'2017 Assembly'!P76</f>
        <v>74.77</v>
      </c>
      <c r="L76" s="91">
        <f>'2022 Assembly'!P76</f>
        <v>70.73</v>
      </c>
      <c r="M76" s="92">
        <f t="shared" si="3"/>
        <v>-4.04</v>
      </c>
      <c r="N76" s="93" t="str">
        <f>'LS Segments'!G75</f>
        <v>INC</v>
      </c>
      <c r="O76" s="94" t="str">
        <f>'LS Segments'!K75</f>
        <v>IND</v>
      </c>
      <c r="P76" s="93" t="s">
        <v>32</v>
      </c>
      <c r="Q76" s="95"/>
      <c r="R76" s="93" t="s">
        <v>424</v>
      </c>
      <c r="S76" s="96" t="s">
        <v>446</v>
      </c>
    </row>
    <row r="77">
      <c r="A77" s="89">
        <v>74.0</v>
      </c>
      <c r="B77" s="90" t="s">
        <v>496</v>
      </c>
      <c r="C77" s="90" t="s">
        <v>495</v>
      </c>
      <c r="D77" s="90" t="s">
        <v>35</v>
      </c>
      <c r="E77" s="90" t="str">
        <f>'2017 Assembly'!G77</f>
        <v>INC</v>
      </c>
      <c r="F77" s="90" t="str">
        <f>'2022 Assembly'!G77:G193</f>
        <v>AAP</v>
      </c>
      <c r="G77" s="90" t="str">
        <f t="shared" si="1"/>
        <v>YES</v>
      </c>
      <c r="H77" s="89">
        <f>'2017 Assembly'!O77</f>
        <v>15.54</v>
      </c>
      <c r="I77" s="89">
        <f>'2022 Assembly'!O77</f>
        <v>21.19</v>
      </c>
      <c r="J77" s="89">
        <f t="shared" si="2"/>
        <v>5.65</v>
      </c>
      <c r="K77" s="89">
        <f>'2017 Assembly'!P77</f>
        <v>82.11</v>
      </c>
      <c r="L77" s="91">
        <f>'2022 Assembly'!P77</f>
        <v>78.01</v>
      </c>
      <c r="M77" s="92">
        <f t="shared" si="3"/>
        <v>-4.1</v>
      </c>
      <c r="N77" s="93" t="str">
        <f>'LS Segments'!G76</f>
        <v>INC</v>
      </c>
      <c r="O77" s="94" t="str">
        <f>'LS Segments'!K76</f>
        <v>IND</v>
      </c>
      <c r="P77" s="93" t="s">
        <v>32</v>
      </c>
      <c r="Q77" s="95"/>
      <c r="R77" s="93" t="s">
        <v>424</v>
      </c>
      <c r="S77" s="96" t="s">
        <v>446</v>
      </c>
    </row>
    <row r="78">
      <c r="A78" s="89">
        <v>75.0</v>
      </c>
      <c r="B78" s="90" t="s">
        <v>497</v>
      </c>
      <c r="C78" s="90" t="s">
        <v>562</v>
      </c>
      <c r="D78" s="90" t="s">
        <v>35</v>
      </c>
      <c r="E78" s="90" t="str">
        <f>'2017 Assembly'!G78</f>
        <v>INC</v>
      </c>
      <c r="F78" s="90" t="str">
        <f>'2022 Assembly'!G78:G194</f>
        <v>AAP</v>
      </c>
      <c r="G78" s="90" t="str">
        <f t="shared" si="1"/>
        <v>YES</v>
      </c>
      <c r="H78" s="89">
        <f>'2017 Assembly'!O78</f>
        <v>15.3</v>
      </c>
      <c r="I78" s="89">
        <f>'2022 Assembly'!O78</f>
        <v>15.13</v>
      </c>
      <c r="J78" s="89">
        <f t="shared" si="2"/>
        <v>-0.17</v>
      </c>
      <c r="K78" s="89">
        <f>'2017 Assembly'!P78</f>
        <v>84.73</v>
      </c>
      <c r="L78" s="91">
        <f>'2022 Assembly'!P78</f>
        <v>80.3</v>
      </c>
      <c r="M78" s="92">
        <f t="shared" si="3"/>
        <v>-4.43</v>
      </c>
      <c r="N78" s="93" t="str">
        <f>'LS Segments'!G77</f>
        <v>INC</v>
      </c>
      <c r="O78" s="94" t="str">
        <f>'LS Segments'!K77</f>
        <v>IND</v>
      </c>
      <c r="P78" s="93" t="s">
        <v>32</v>
      </c>
      <c r="Q78" s="95"/>
      <c r="R78" s="93" t="s">
        <v>424</v>
      </c>
      <c r="S78" s="96" t="s">
        <v>446</v>
      </c>
    </row>
    <row r="79">
      <c r="A79" s="89">
        <v>76.0</v>
      </c>
      <c r="B79" s="90" t="s">
        <v>499</v>
      </c>
      <c r="C79" s="90" t="s">
        <v>562</v>
      </c>
      <c r="D79" s="90" t="s">
        <v>35</v>
      </c>
      <c r="E79" s="90" t="str">
        <f>'2017 Assembly'!G79</f>
        <v>INC</v>
      </c>
      <c r="F79" s="90" t="str">
        <f>'2022 Assembly'!G79:G195</f>
        <v>AAP</v>
      </c>
      <c r="G79" s="90" t="str">
        <f t="shared" si="1"/>
        <v>YES</v>
      </c>
      <c r="H79" s="89">
        <f>'2017 Assembly'!O79</f>
        <v>23.76</v>
      </c>
      <c r="I79" s="89">
        <f>'2022 Assembly'!O79</f>
        <v>15.78</v>
      </c>
      <c r="J79" s="89">
        <f t="shared" si="2"/>
        <v>-7.98</v>
      </c>
      <c r="K79" s="89">
        <f>'2017 Assembly'!P79</f>
        <v>69.94</v>
      </c>
      <c r="L79" s="91">
        <f>'2022 Assembly'!P79</f>
        <v>71.81</v>
      </c>
      <c r="M79" s="92">
        <f t="shared" si="3"/>
        <v>1.87</v>
      </c>
      <c r="N79" s="93" t="str">
        <f>'LS Segments'!G78</f>
        <v>SAD</v>
      </c>
      <c r="O79" s="94" t="str">
        <f>'LS Segments'!K78</f>
        <v>BJP</v>
      </c>
      <c r="P79" s="93" t="s">
        <v>32</v>
      </c>
      <c r="Q79" s="95"/>
      <c r="R79" s="93" t="s">
        <v>424</v>
      </c>
      <c r="S79" s="96" t="s">
        <v>425</v>
      </c>
    </row>
    <row r="80">
      <c r="A80" s="89">
        <v>77.0</v>
      </c>
      <c r="B80" s="90" t="s">
        <v>501</v>
      </c>
      <c r="C80" s="90" t="s">
        <v>562</v>
      </c>
      <c r="D80" s="90" t="s">
        <v>35</v>
      </c>
      <c r="E80" s="90" t="str">
        <f>'2017 Assembly'!G80</f>
        <v>INC</v>
      </c>
      <c r="F80" s="90" t="str">
        <f>'2022 Assembly'!G80:G196</f>
        <v>AAP</v>
      </c>
      <c r="G80" s="90" t="str">
        <f t="shared" si="1"/>
        <v>YES</v>
      </c>
      <c r="H80" s="89">
        <f>'2017 Assembly'!O80</f>
        <v>13.72</v>
      </c>
      <c r="I80" s="89">
        <f>'2022 Assembly'!O80</f>
        <v>18.34</v>
      </c>
      <c r="J80" s="89">
        <f t="shared" si="2"/>
        <v>4.62</v>
      </c>
      <c r="K80" s="89">
        <f>'2017 Assembly'!P80</f>
        <v>83.87</v>
      </c>
      <c r="L80" s="91">
        <f>'2022 Assembly'!P80</f>
        <v>77.2</v>
      </c>
      <c r="M80" s="92">
        <f t="shared" si="3"/>
        <v>-6.67</v>
      </c>
      <c r="N80" s="93" t="str">
        <f>'LS Segments'!G79</f>
        <v>SAD</v>
      </c>
      <c r="O80" s="94" t="str">
        <f>'LS Segments'!K79</f>
        <v>SAD</v>
      </c>
      <c r="P80" s="93" t="s">
        <v>32</v>
      </c>
      <c r="Q80" s="95"/>
      <c r="R80" s="93" t="s">
        <v>424</v>
      </c>
      <c r="S80" s="96" t="s">
        <v>565</v>
      </c>
    </row>
    <row r="81">
      <c r="A81" s="89">
        <v>78.0</v>
      </c>
      <c r="B81" s="90" t="s">
        <v>506</v>
      </c>
      <c r="C81" s="90" t="s">
        <v>562</v>
      </c>
      <c r="D81" s="90" t="s">
        <v>35</v>
      </c>
      <c r="E81" s="90" t="str">
        <f>'2017 Assembly'!G81</f>
        <v>INC</v>
      </c>
      <c r="F81" s="90" t="str">
        <f>'2022 Assembly'!G81:G197</f>
        <v>AAP</v>
      </c>
      <c r="G81" s="90" t="str">
        <f t="shared" si="1"/>
        <v>YES</v>
      </c>
      <c r="H81" s="89">
        <f>'2017 Assembly'!O81</f>
        <v>4.24</v>
      </c>
      <c r="I81" s="89">
        <f>'2022 Assembly'!O81</f>
        <v>7.61</v>
      </c>
      <c r="J81" s="89">
        <f t="shared" si="2"/>
        <v>3.37</v>
      </c>
      <c r="K81" s="89">
        <f>'2017 Assembly'!P81</f>
        <v>86.61</v>
      </c>
      <c r="L81" s="91">
        <f>'2022 Assembly'!P81</f>
        <v>80.46</v>
      </c>
      <c r="M81" s="92">
        <f t="shared" si="3"/>
        <v>-6.15</v>
      </c>
      <c r="N81" s="93" t="str">
        <f>'LS Segments'!G80</f>
        <v>SAD</v>
      </c>
      <c r="O81" s="94" t="str">
        <f>'LS Segments'!K80</f>
        <v>SAD</v>
      </c>
      <c r="P81" s="93" t="s">
        <v>32</v>
      </c>
      <c r="Q81" s="95"/>
      <c r="R81" s="93" t="s">
        <v>424</v>
      </c>
      <c r="S81" s="96" t="s">
        <v>565</v>
      </c>
    </row>
    <row r="82">
      <c r="A82" s="89">
        <v>79.0</v>
      </c>
      <c r="B82" s="90" t="s">
        <v>508</v>
      </c>
      <c r="C82" s="90" t="s">
        <v>510</v>
      </c>
      <c r="D82" s="90" t="s">
        <v>35</v>
      </c>
      <c r="E82" s="90" t="str">
        <f>'2017 Assembly'!G82</f>
        <v>SAD</v>
      </c>
      <c r="F82" s="90" t="str">
        <f>'2022 Assembly'!G82:G198</f>
        <v>AAP</v>
      </c>
      <c r="G82" s="90" t="str">
        <f t="shared" si="1"/>
        <v>YES</v>
      </c>
      <c r="H82" s="89">
        <f>'2017 Assembly'!O82</f>
        <v>11.02</v>
      </c>
      <c r="I82" s="89">
        <f>'2022 Assembly'!O82</f>
        <v>17.99</v>
      </c>
      <c r="J82" s="89">
        <f t="shared" si="2"/>
        <v>6.97</v>
      </c>
      <c r="K82" s="89">
        <f>'2017 Assembly'!P82</f>
        <v>86.34</v>
      </c>
      <c r="L82" s="91">
        <f>'2022 Assembly'!P82</f>
        <v>80.6</v>
      </c>
      <c r="M82" s="92">
        <f t="shared" si="3"/>
        <v>-5.74</v>
      </c>
      <c r="N82" s="93" t="str">
        <f>'LS Segments'!G81</f>
        <v>SAD</v>
      </c>
      <c r="O82" s="94" t="str">
        <f>'LS Segments'!K81</f>
        <v>INC</v>
      </c>
      <c r="P82" s="93" t="s">
        <v>32</v>
      </c>
      <c r="Q82" s="95"/>
      <c r="R82" s="93" t="s">
        <v>424</v>
      </c>
      <c r="S82" s="96" t="s">
        <v>434</v>
      </c>
    </row>
    <row r="83">
      <c r="A83" s="89">
        <v>80.0</v>
      </c>
      <c r="B83" s="90" t="s">
        <v>510</v>
      </c>
      <c r="C83" s="90" t="s">
        <v>510</v>
      </c>
      <c r="D83" s="90" t="s">
        <v>35</v>
      </c>
      <c r="E83" s="90" t="str">
        <f>'2017 Assembly'!G83</f>
        <v>INC</v>
      </c>
      <c r="F83" s="90" t="str">
        <f>'2022 Assembly'!G83:G199</f>
        <v>AAP</v>
      </c>
      <c r="G83" s="90" t="str">
        <f t="shared" si="1"/>
        <v>YES</v>
      </c>
      <c r="H83" s="89">
        <f>'2017 Assembly'!O83</f>
        <v>0.19</v>
      </c>
      <c r="I83" s="89">
        <f>'2022 Assembly'!O83</f>
        <v>19.19</v>
      </c>
      <c r="J83" s="89">
        <f t="shared" si="2"/>
        <v>19</v>
      </c>
      <c r="K83" s="89">
        <f>'2017 Assembly'!P83</f>
        <v>86.66</v>
      </c>
      <c r="L83" s="91">
        <f>'2022 Assembly'!P83</f>
        <v>81.54</v>
      </c>
      <c r="M83" s="92">
        <f t="shared" si="3"/>
        <v>-5.12</v>
      </c>
      <c r="N83" s="93" t="str">
        <f>'LS Segments'!G82</f>
        <v>SAD</v>
      </c>
      <c r="O83" s="94" t="str">
        <f>'LS Segments'!K82</f>
        <v>INC</v>
      </c>
      <c r="P83" s="93" t="s">
        <v>32</v>
      </c>
      <c r="Q83" s="95"/>
      <c r="R83" s="93" t="s">
        <v>424</v>
      </c>
      <c r="S83" s="96" t="s">
        <v>434</v>
      </c>
    </row>
    <row r="84">
      <c r="A84" s="89">
        <v>81.0</v>
      </c>
      <c r="B84" s="90" t="s">
        <v>270</v>
      </c>
      <c r="C84" s="90" t="s">
        <v>510</v>
      </c>
      <c r="D84" s="90" t="s">
        <v>35</v>
      </c>
      <c r="E84" s="90" t="str">
        <f>'2017 Assembly'!G84</f>
        <v>BJP</v>
      </c>
      <c r="F84" s="90" t="str">
        <f>'2022 Assembly'!G84:G200</f>
        <v>INC</v>
      </c>
      <c r="G84" s="90" t="str">
        <f t="shared" si="1"/>
        <v>YES</v>
      </c>
      <c r="H84" s="89">
        <f>'2017 Assembly'!O84</f>
        <v>2.65</v>
      </c>
      <c r="I84" s="89">
        <f>'2022 Assembly'!O84</f>
        <v>4.13</v>
      </c>
      <c r="J84" s="89">
        <f t="shared" si="2"/>
        <v>1.48</v>
      </c>
      <c r="K84" s="89">
        <f>'2017 Assembly'!P84</f>
        <v>77.61</v>
      </c>
      <c r="L84" s="91">
        <f>'2022 Assembly'!P84</f>
        <v>74.47</v>
      </c>
      <c r="M84" s="92">
        <f t="shared" si="3"/>
        <v>-3.14</v>
      </c>
      <c r="N84" s="93" t="str">
        <f>'LS Segments'!G83</f>
        <v>SAD</v>
      </c>
      <c r="O84" s="94" t="str">
        <f>'LS Segments'!K83</f>
        <v>BJP</v>
      </c>
      <c r="P84" s="93" t="s">
        <v>45</v>
      </c>
      <c r="Q84" s="95"/>
      <c r="R84" s="93" t="s">
        <v>424</v>
      </c>
      <c r="S84" s="96" t="s">
        <v>425</v>
      </c>
    </row>
    <row r="85">
      <c r="A85" s="89">
        <v>82.0</v>
      </c>
      <c r="B85" s="90" t="s">
        <v>512</v>
      </c>
      <c r="C85" s="90" t="s">
        <v>510</v>
      </c>
      <c r="D85" s="90" t="s">
        <v>35</v>
      </c>
      <c r="E85" s="90" t="str">
        <f>'2017 Assembly'!G85</f>
        <v>INC</v>
      </c>
      <c r="F85" s="90" t="str">
        <f>'2022 Assembly'!G85:G201</f>
        <v>AAP</v>
      </c>
      <c r="G85" s="90" t="str">
        <f t="shared" si="1"/>
        <v>YES</v>
      </c>
      <c r="H85" s="89">
        <f>'2017 Assembly'!O85</f>
        <v>10.91</v>
      </c>
      <c r="I85" s="89">
        <f>'2022 Assembly'!O85</f>
        <v>13.43</v>
      </c>
      <c r="J85" s="89">
        <f t="shared" si="2"/>
        <v>2.52</v>
      </c>
      <c r="K85" s="89">
        <f>'2017 Assembly'!P85</f>
        <v>82.74</v>
      </c>
      <c r="L85" s="91">
        <f>'2022 Assembly'!P85</f>
        <v>78.06</v>
      </c>
      <c r="M85" s="92">
        <f t="shared" si="3"/>
        <v>-4.68</v>
      </c>
      <c r="N85" s="93" t="str">
        <f>'LS Segments'!G84</f>
        <v>SAD</v>
      </c>
      <c r="O85" s="94" t="str">
        <f>'LS Segments'!K84</f>
        <v>BJP</v>
      </c>
      <c r="P85" s="93" t="s">
        <v>32</v>
      </c>
      <c r="Q85" s="95"/>
      <c r="R85" s="93" t="s">
        <v>424</v>
      </c>
      <c r="S85" s="96" t="s">
        <v>425</v>
      </c>
    </row>
    <row r="86">
      <c r="A86" s="89">
        <v>83.0</v>
      </c>
      <c r="B86" s="90" t="s">
        <v>513</v>
      </c>
      <c r="C86" s="90" t="s">
        <v>569</v>
      </c>
      <c r="D86" s="90" t="s">
        <v>35</v>
      </c>
      <c r="E86" s="90" t="str">
        <f>'2017 Assembly'!G86</f>
        <v>SAD</v>
      </c>
      <c r="F86" s="90" t="str">
        <f>'2022 Assembly'!G86:G202</f>
        <v>AAP</v>
      </c>
      <c r="G86" s="90" t="str">
        <f t="shared" si="1"/>
        <v>YES</v>
      </c>
      <c r="H86" s="89">
        <f>'2017 Assembly'!O86</f>
        <v>17.13</v>
      </c>
      <c r="I86" s="89">
        <f>'2022 Assembly'!O86</f>
        <v>8.47</v>
      </c>
      <c r="J86" s="89">
        <f t="shared" si="2"/>
        <v>-8.66</v>
      </c>
      <c r="K86" s="89">
        <f>'2017 Assembly'!P86</f>
        <v>84.97</v>
      </c>
      <c r="L86" s="91">
        <f>'2022 Assembly'!P86</f>
        <v>81.83</v>
      </c>
      <c r="M86" s="92">
        <f t="shared" si="3"/>
        <v>-3.14</v>
      </c>
      <c r="N86" s="93" t="str">
        <f>'LS Segments'!G85</f>
        <v>SAD</v>
      </c>
      <c r="O86" s="94" t="str">
        <f>'LS Segments'!K85</f>
        <v>SAD</v>
      </c>
      <c r="P86" s="93" t="s">
        <v>32</v>
      </c>
      <c r="Q86" s="95"/>
      <c r="R86" s="93" t="s">
        <v>424</v>
      </c>
      <c r="S86" s="96" t="s">
        <v>565</v>
      </c>
    </row>
    <row r="87">
      <c r="A87" s="89">
        <v>84.0</v>
      </c>
      <c r="B87" s="90" t="s">
        <v>148</v>
      </c>
      <c r="C87" s="90" t="s">
        <v>569</v>
      </c>
      <c r="D87" s="90" t="s">
        <v>35</v>
      </c>
      <c r="E87" s="90" t="str">
        <f>'2017 Assembly'!G87</f>
        <v>INC</v>
      </c>
      <c r="F87" s="90" t="str">
        <f>'2022 Assembly'!G87:G203</f>
        <v>INC</v>
      </c>
      <c r="G87" s="90" t="str">
        <f t="shared" si="1"/>
        <v>NO</v>
      </c>
      <c r="H87" s="89">
        <f>'2017 Assembly'!O87</f>
        <v>11.72</v>
      </c>
      <c r="I87" s="89">
        <f>'2022 Assembly'!O87</f>
        <v>0.95</v>
      </c>
      <c r="J87" s="89">
        <f t="shared" si="2"/>
        <v>-10.77</v>
      </c>
      <c r="K87" s="89">
        <f>'2017 Assembly'!P87</f>
        <v>88.43</v>
      </c>
      <c r="L87" s="91">
        <f>'2022 Assembly'!P87</f>
        <v>85.7</v>
      </c>
      <c r="M87" s="92">
        <f t="shared" si="3"/>
        <v>-2.73</v>
      </c>
      <c r="N87" s="93" t="str">
        <f>'LS Segments'!G86</f>
        <v>SAD</v>
      </c>
      <c r="O87" s="94" t="str">
        <f>'LS Segments'!K86</f>
        <v>IND</v>
      </c>
      <c r="P87" s="93" t="s">
        <v>32</v>
      </c>
      <c r="Q87" s="99" t="s">
        <v>210</v>
      </c>
      <c r="R87" s="93" t="s">
        <v>443</v>
      </c>
      <c r="S87" s="96" t="s">
        <v>446</v>
      </c>
    </row>
    <row r="88">
      <c r="A88" s="89">
        <v>85.0</v>
      </c>
      <c r="B88" s="90" t="s">
        <v>514</v>
      </c>
      <c r="C88" s="90" t="s">
        <v>569</v>
      </c>
      <c r="D88" s="90" t="s">
        <v>35</v>
      </c>
      <c r="E88" s="90" t="str">
        <f>'2017 Assembly'!G88</f>
        <v>INC</v>
      </c>
      <c r="F88" s="90" t="str">
        <f>'2022 Assembly'!G88:G204</f>
        <v>AAP</v>
      </c>
      <c r="G88" s="90" t="str">
        <f t="shared" si="1"/>
        <v>YES</v>
      </c>
      <c r="H88" s="89">
        <f>'2017 Assembly'!O88</f>
        <v>3.69</v>
      </c>
      <c r="I88" s="89">
        <f>'2022 Assembly'!O88</f>
        <v>29.12</v>
      </c>
      <c r="J88" s="89">
        <f t="shared" si="2"/>
        <v>25.43</v>
      </c>
      <c r="K88" s="89">
        <f>'2017 Assembly'!P88</f>
        <v>82.08</v>
      </c>
      <c r="L88" s="91">
        <f>'2022 Assembly'!P88</f>
        <v>78.66</v>
      </c>
      <c r="M88" s="92">
        <f t="shared" si="3"/>
        <v>-3.42</v>
      </c>
      <c r="N88" s="93" t="str">
        <f>'LS Segments'!G87</f>
        <v>SAD</v>
      </c>
      <c r="O88" s="94" t="str">
        <f>'LS Segments'!K87</f>
        <v>SAD</v>
      </c>
      <c r="P88" s="93" t="s">
        <v>32</v>
      </c>
      <c r="Q88" s="95"/>
      <c r="R88" s="93" t="s">
        <v>424</v>
      </c>
      <c r="S88" s="96" t="s">
        <v>565</v>
      </c>
    </row>
    <row r="89">
      <c r="A89" s="89">
        <v>86.0</v>
      </c>
      <c r="B89" s="90" t="s">
        <v>516</v>
      </c>
      <c r="C89" s="90" t="s">
        <v>569</v>
      </c>
      <c r="D89" s="90" t="s">
        <v>35</v>
      </c>
      <c r="E89" s="90" t="str">
        <f>'2017 Assembly'!G89</f>
        <v>SAD</v>
      </c>
      <c r="F89" s="90" t="str">
        <f>'2022 Assembly'!G89:G205</f>
        <v>AAP</v>
      </c>
      <c r="G89" s="90" t="str">
        <f t="shared" si="1"/>
        <v>YES</v>
      </c>
      <c r="H89" s="89">
        <f>'2017 Assembly'!O89</f>
        <v>5.46</v>
      </c>
      <c r="I89" s="89">
        <f>'2022 Assembly'!O89</f>
        <v>23.02</v>
      </c>
      <c r="J89" s="89">
        <f t="shared" si="2"/>
        <v>17.56</v>
      </c>
      <c r="K89" s="89">
        <f>'2017 Assembly'!P89</f>
        <v>83.03</v>
      </c>
      <c r="L89" s="91">
        <f>'2022 Assembly'!P89</f>
        <v>78.93</v>
      </c>
      <c r="M89" s="92">
        <f t="shared" si="3"/>
        <v>-4.1</v>
      </c>
      <c r="N89" s="93" t="str">
        <f>'LS Segments'!G88</f>
        <v>SAD</v>
      </c>
      <c r="O89" s="94" t="str">
        <f>'LS Segments'!K88</f>
        <v>AAP</v>
      </c>
      <c r="P89" s="93" t="s">
        <v>32</v>
      </c>
      <c r="Q89" s="95"/>
      <c r="R89" s="93" t="s">
        <v>424</v>
      </c>
      <c r="S89" s="96" t="s">
        <v>428</v>
      </c>
    </row>
    <row r="90">
      <c r="A90" s="89">
        <v>87.0</v>
      </c>
      <c r="B90" s="90" t="s">
        <v>517</v>
      </c>
      <c r="C90" s="90" t="s">
        <v>517</v>
      </c>
      <c r="D90" s="90" t="s">
        <v>35</v>
      </c>
      <c r="E90" s="90" t="str">
        <f>'2017 Assembly'!G90</f>
        <v>INC</v>
      </c>
      <c r="F90" s="90" t="str">
        <f>'2022 Assembly'!G90:G206</f>
        <v>AAP</v>
      </c>
      <c r="G90" s="90" t="str">
        <f t="shared" si="1"/>
        <v>YES</v>
      </c>
      <c r="H90" s="89">
        <f>'2017 Assembly'!O90</f>
        <v>9.28</v>
      </c>
      <c r="I90" s="89">
        <f>'2022 Assembly'!O90</f>
        <v>13.01</v>
      </c>
      <c r="J90" s="89">
        <f t="shared" si="2"/>
        <v>3.73</v>
      </c>
      <c r="K90" s="89">
        <f>'2017 Assembly'!P90</f>
        <v>81.52</v>
      </c>
      <c r="L90" s="91">
        <f>'2022 Assembly'!P90</f>
        <v>76.16</v>
      </c>
      <c r="M90" s="92">
        <f t="shared" si="3"/>
        <v>-5.36</v>
      </c>
      <c r="N90" s="93" t="str">
        <f>'LS Segments'!G89</f>
        <v>INC</v>
      </c>
      <c r="O90" s="94" t="str">
        <f>'LS Segments'!K89</f>
        <v>AAP</v>
      </c>
      <c r="P90" s="93" t="s">
        <v>32</v>
      </c>
      <c r="Q90" s="95"/>
      <c r="R90" s="93" t="s">
        <v>424</v>
      </c>
      <c r="S90" s="96" t="s">
        <v>428</v>
      </c>
    </row>
    <row r="91">
      <c r="A91" s="89">
        <v>88.0</v>
      </c>
      <c r="B91" s="90" t="s">
        <v>518</v>
      </c>
      <c r="C91" s="90" t="s">
        <v>517</v>
      </c>
      <c r="D91" s="90" t="s">
        <v>35</v>
      </c>
      <c r="E91" s="90" t="str">
        <f>'2017 Assembly'!G91</f>
        <v>AAP</v>
      </c>
      <c r="F91" s="90" t="str">
        <f>'2022 Assembly'!G91:G207</f>
        <v>AAP</v>
      </c>
      <c r="G91" s="90" t="str">
        <f t="shared" si="1"/>
        <v>NO</v>
      </c>
      <c r="H91" s="89">
        <f>'2017 Assembly'!O91</f>
        <v>8.28</v>
      </c>
      <c r="I91" s="89">
        <f>'2022 Assembly'!O91</f>
        <v>17.27</v>
      </c>
      <c r="J91" s="89">
        <f t="shared" si="2"/>
        <v>8.99</v>
      </c>
      <c r="K91" s="89">
        <f>'2017 Assembly'!P91</f>
        <v>80.05</v>
      </c>
      <c r="L91" s="91">
        <f>'2022 Assembly'!P91</f>
        <v>76.94</v>
      </c>
      <c r="M91" s="92">
        <f t="shared" si="3"/>
        <v>-3.11</v>
      </c>
      <c r="N91" s="93" t="str">
        <f>'LS Segments'!G90</f>
        <v>INC</v>
      </c>
      <c r="O91" s="94" t="str">
        <f>'LS Segments'!K90</f>
        <v>AAP</v>
      </c>
      <c r="P91" s="93" t="s">
        <v>32</v>
      </c>
      <c r="Q91" s="95"/>
      <c r="R91" s="93" t="s">
        <v>429</v>
      </c>
      <c r="S91" s="96" t="s">
        <v>428</v>
      </c>
    </row>
    <row r="92">
      <c r="A92" s="89">
        <v>89.0</v>
      </c>
      <c r="B92" s="90" t="s">
        <v>520</v>
      </c>
      <c r="C92" s="90" t="s">
        <v>517</v>
      </c>
      <c r="D92" s="90" t="s">
        <v>35</v>
      </c>
      <c r="E92" s="90" t="str">
        <f>'2017 Assembly'!G92</f>
        <v>AAP</v>
      </c>
      <c r="F92" s="90" t="str">
        <f>'2022 Assembly'!G92:G208</f>
        <v>AAP</v>
      </c>
      <c r="G92" s="90" t="str">
        <f t="shared" si="1"/>
        <v>NO</v>
      </c>
      <c r="H92" s="89">
        <f>'2017 Assembly'!O92</f>
        <v>8.39</v>
      </c>
      <c r="I92" s="89">
        <f>'2022 Assembly'!O92</f>
        <v>28.41</v>
      </c>
      <c r="J92" s="89">
        <f t="shared" si="2"/>
        <v>20.02</v>
      </c>
      <c r="K92" s="89">
        <f>'2017 Assembly'!P92</f>
        <v>83.16</v>
      </c>
      <c r="L92" s="91">
        <f>'2022 Assembly'!P92</f>
        <v>76.63</v>
      </c>
      <c r="M92" s="92">
        <f t="shared" si="3"/>
        <v>-6.53</v>
      </c>
      <c r="N92" s="93" t="str">
        <f>'LS Segments'!G91</f>
        <v>INC</v>
      </c>
      <c r="O92" s="94" t="str">
        <f>'LS Segments'!K91</f>
        <v>IND</v>
      </c>
      <c r="P92" s="93" t="s">
        <v>32</v>
      </c>
      <c r="Q92" s="95"/>
      <c r="R92" s="93" t="s">
        <v>429</v>
      </c>
      <c r="S92" s="96" t="s">
        <v>446</v>
      </c>
    </row>
    <row r="93">
      <c r="A93" s="89">
        <v>90.0</v>
      </c>
      <c r="B93" s="90" t="s">
        <v>522</v>
      </c>
      <c r="C93" s="90" t="s">
        <v>573</v>
      </c>
      <c r="D93" s="90" t="s">
        <v>35</v>
      </c>
      <c r="E93" s="90" t="str">
        <f>'2017 Assembly'!G93</f>
        <v>INC</v>
      </c>
      <c r="F93" s="90" t="str">
        <f>'2022 Assembly'!G93:G209</f>
        <v>AAP</v>
      </c>
      <c r="G93" s="90" t="str">
        <f t="shared" si="1"/>
        <v>YES</v>
      </c>
      <c r="H93" s="89">
        <f>'2017 Assembly'!O93</f>
        <v>7.63</v>
      </c>
      <c r="I93" s="89">
        <f>'2022 Assembly'!O93</f>
        <v>7.69</v>
      </c>
      <c r="J93" s="89">
        <f t="shared" si="2"/>
        <v>0.06</v>
      </c>
      <c r="K93" s="89">
        <f>'2017 Assembly'!P93</f>
        <v>85.91</v>
      </c>
      <c r="L93" s="91">
        <f>'2022 Assembly'!P93</f>
        <v>79.74</v>
      </c>
      <c r="M93" s="92">
        <f t="shared" si="3"/>
        <v>-6.17</v>
      </c>
      <c r="N93" s="93" t="str">
        <f>'LS Segments'!G92</f>
        <v>INC</v>
      </c>
      <c r="O93" s="94" t="str">
        <f>'LS Segments'!K92</f>
        <v>IND</v>
      </c>
      <c r="P93" s="93" t="s">
        <v>32</v>
      </c>
      <c r="Q93" s="95"/>
      <c r="R93" s="93" t="s">
        <v>424</v>
      </c>
      <c r="S93" s="96" t="s">
        <v>446</v>
      </c>
    </row>
    <row r="94">
      <c r="A94" s="89">
        <v>91.0</v>
      </c>
      <c r="B94" s="90" t="s">
        <v>523</v>
      </c>
      <c r="C94" s="90" t="s">
        <v>573</v>
      </c>
      <c r="D94" s="90" t="s">
        <v>35</v>
      </c>
      <c r="E94" s="90" t="str">
        <f>'2017 Assembly'!G94</f>
        <v>INC</v>
      </c>
      <c r="F94" s="90" t="str">
        <f>'2022 Assembly'!G94:G210</f>
        <v>AAP</v>
      </c>
      <c r="G94" s="90" t="str">
        <f t="shared" si="1"/>
        <v>YES</v>
      </c>
      <c r="H94" s="89">
        <f>'2017 Assembly'!O94</f>
        <v>0.43</v>
      </c>
      <c r="I94" s="89">
        <f>'2022 Assembly'!O94</f>
        <v>33.89</v>
      </c>
      <c r="J94" s="89">
        <f t="shared" si="2"/>
        <v>33.46</v>
      </c>
      <c r="K94" s="89">
        <f>'2017 Assembly'!P94</f>
        <v>83.93</v>
      </c>
      <c r="L94" s="91">
        <f>'2022 Assembly'!P94</f>
        <v>80.65</v>
      </c>
      <c r="M94" s="92">
        <f t="shared" si="3"/>
        <v>-3.28</v>
      </c>
      <c r="N94" s="93" t="str">
        <f>'LS Segments'!G93</f>
        <v>SAD</v>
      </c>
      <c r="O94" s="94" t="str">
        <f>'LS Segments'!K93</f>
        <v>SAD</v>
      </c>
      <c r="P94" s="93" t="s">
        <v>32</v>
      </c>
      <c r="Q94" s="95"/>
      <c r="R94" s="93" t="s">
        <v>424</v>
      </c>
      <c r="S94" s="96" t="s">
        <v>565</v>
      </c>
    </row>
    <row r="95">
      <c r="A95" s="89">
        <v>92.0</v>
      </c>
      <c r="B95" s="90" t="s">
        <v>524</v>
      </c>
      <c r="C95" s="90" t="s">
        <v>573</v>
      </c>
      <c r="D95" s="90" t="s">
        <v>35</v>
      </c>
      <c r="E95" s="90" t="str">
        <f>'2017 Assembly'!G95</f>
        <v>INC</v>
      </c>
      <c r="F95" s="90" t="str">
        <f>'2022 Assembly'!G95:G211</f>
        <v>AAP</v>
      </c>
      <c r="G95" s="90" t="str">
        <f t="shared" si="1"/>
        <v>YES</v>
      </c>
      <c r="H95" s="89">
        <f>'2017 Assembly'!O95</f>
        <v>12.3</v>
      </c>
      <c r="I95" s="89">
        <f>'2022 Assembly'!O95</f>
        <v>39.37</v>
      </c>
      <c r="J95" s="89">
        <f t="shared" si="2"/>
        <v>27.07</v>
      </c>
      <c r="K95" s="89">
        <f>'2017 Assembly'!P95</f>
        <v>73.05</v>
      </c>
      <c r="L95" s="91">
        <f>'2022 Assembly'!P95</f>
        <v>70.78</v>
      </c>
      <c r="M95" s="92">
        <f t="shared" si="3"/>
        <v>-2.27</v>
      </c>
      <c r="N95" s="93" t="str">
        <f>'LS Segments'!G94</f>
        <v>SAD</v>
      </c>
      <c r="O95" s="94" t="str">
        <f>'LS Segments'!K94</f>
        <v>BJP</v>
      </c>
      <c r="P95" s="93" t="s">
        <v>32</v>
      </c>
      <c r="Q95" s="95"/>
      <c r="R95" s="93" t="s">
        <v>424</v>
      </c>
      <c r="S95" s="96" t="s">
        <v>425</v>
      </c>
    </row>
    <row r="96">
      <c r="A96" s="89">
        <v>93.0</v>
      </c>
      <c r="B96" s="90" t="s">
        <v>526</v>
      </c>
      <c r="C96" s="90" t="s">
        <v>573</v>
      </c>
      <c r="D96" s="90" t="s">
        <v>35</v>
      </c>
      <c r="E96" s="90" t="str">
        <f>'2017 Assembly'!G96</f>
        <v>AAP</v>
      </c>
      <c r="F96" s="90" t="str">
        <f>'2022 Assembly'!G96:G212</f>
        <v>AAP</v>
      </c>
      <c r="G96" s="90" t="str">
        <f t="shared" si="1"/>
        <v>NO</v>
      </c>
      <c r="H96" s="89">
        <f>'2017 Assembly'!O96</f>
        <v>8.56</v>
      </c>
      <c r="I96" s="89">
        <f>'2022 Assembly'!O96</f>
        <v>28.81</v>
      </c>
      <c r="J96" s="89">
        <f t="shared" si="2"/>
        <v>20.25</v>
      </c>
      <c r="K96" s="89">
        <f>'2017 Assembly'!P96</f>
        <v>81.14</v>
      </c>
      <c r="L96" s="91">
        <f>'2022 Assembly'!P96</f>
        <v>78.31</v>
      </c>
      <c r="M96" s="92">
        <f t="shared" si="3"/>
        <v>-2.83</v>
      </c>
      <c r="N96" s="93" t="str">
        <f>'LS Segments'!G95</f>
        <v>SAD</v>
      </c>
      <c r="O96" s="94" t="str">
        <f>'LS Segments'!K95</f>
        <v>SAD</v>
      </c>
      <c r="P96" s="93" t="s">
        <v>32</v>
      </c>
      <c r="Q96" s="95"/>
      <c r="R96" s="93" t="s">
        <v>429</v>
      </c>
      <c r="S96" s="96" t="s">
        <v>565</v>
      </c>
    </row>
    <row r="97">
      <c r="A97" s="89">
        <v>94.0</v>
      </c>
      <c r="B97" s="90" t="s">
        <v>527</v>
      </c>
      <c r="C97" s="90" t="s">
        <v>573</v>
      </c>
      <c r="D97" s="90" t="s">
        <v>35</v>
      </c>
      <c r="E97" s="90" t="str">
        <f>'2017 Assembly'!G97</f>
        <v>AAP</v>
      </c>
      <c r="F97" s="90" t="str">
        <f>'2022 Assembly'!G97:G213</f>
        <v>AAP</v>
      </c>
      <c r="G97" s="90" t="str">
        <f t="shared" si="1"/>
        <v>NO</v>
      </c>
      <c r="H97" s="89">
        <f>'2017 Assembly'!O97</f>
        <v>15.09</v>
      </c>
      <c r="I97" s="89">
        <f>'2022 Assembly'!O97</f>
        <v>11.68</v>
      </c>
      <c r="J97" s="89">
        <f t="shared" si="2"/>
        <v>-3.41</v>
      </c>
      <c r="K97" s="89">
        <f>'2017 Assembly'!P97</f>
        <v>85.6</v>
      </c>
      <c r="L97" s="91">
        <f>'2022 Assembly'!P97</f>
        <v>83.73</v>
      </c>
      <c r="M97" s="92">
        <f t="shared" si="3"/>
        <v>-1.87</v>
      </c>
      <c r="N97" s="93" t="str">
        <f>'LS Segments'!G96</f>
        <v>INC</v>
      </c>
      <c r="O97" s="94" t="str">
        <f>'LS Segments'!K96</f>
        <v>SAD</v>
      </c>
      <c r="P97" s="93" t="s">
        <v>32</v>
      </c>
      <c r="Q97" s="95"/>
      <c r="R97" s="93" t="s">
        <v>429</v>
      </c>
      <c r="S97" s="96" t="s">
        <v>565</v>
      </c>
    </row>
    <row r="98">
      <c r="A98" s="89">
        <v>95.0</v>
      </c>
      <c r="B98" s="90" t="s">
        <v>528</v>
      </c>
      <c r="C98" s="90" t="s">
        <v>573</v>
      </c>
      <c r="D98" s="90" t="s">
        <v>35</v>
      </c>
      <c r="E98" s="90" t="str">
        <f>'2017 Assembly'!G98</f>
        <v>AAP</v>
      </c>
      <c r="F98" s="90" t="str">
        <f>'2022 Assembly'!G98:G214</f>
        <v>AAP</v>
      </c>
      <c r="G98" s="90" t="str">
        <f t="shared" si="1"/>
        <v>NO</v>
      </c>
      <c r="H98" s="89">
        <f>'2017 Assembly'!O98</f>
        <v>10.73</v>
      </c>
      <c r="I98" s="89">
        <f>'2022 Assembly'!O98</f>
        <v>25.98</v>
      </c>
      <c r="J98" s="89">
        <f t="shared" si="2"/>
        <v>15.25</v>
      </c>
      <c r="K98" s="89">
        <f>'2017 Assembly'!P98</f>
        <v>83.98</v>
      </c>
      <c r="L98" s="91">
        <f>'2022 Assembly'!P98</f>
        <v>80.56</v>
      </c>
      <c r="M98" s="92">
        <f t="shared" si="3"/>
        <v>-3.42</v>
      </c>
      <c r="N98" s="93" t="str">
        <f>'LS Segments'!G97</f>
        <v>INC</v>
      </c>
      <c r="O98" s="94" t="str">
        <f>'LS Segments'!K97</f>
        <v>AAP</v>
      </c>
      <c r="P98" s="93" t="s">
        <v>32</v>
      </c>
      <c r="Q98" s="95"/>
      <c r="R98" s="93" t="s">
        <v>429</v>
      </c>
      <c r="S98" s="96" t="s">
        <v>428</v>
      </c>
    </row>
    <row r="99">
      <c r="A99" s="89">
        <v>96.0</v>
      </c>
      <c r="B99" s="90" t="s">
        <v>529</v>
      </c>
      <c r="C99" s="90" t="s">
        <v>529</v>
      </c>
      <c r="D99" s="90" t="s">
        <v>35</v>
      </c>
      <c r="E99" s="90" t="str">
        <f>'2017 Assembly'!G99</f>
        <v>AAP</v>
      </c>
      <c r="F99" s="90" t="str">
        <f>'2022 Assembly'!G99:G215</f>
        <v>AAP</v>
      </c>
      <c r="G99" s="90" t="str">
        <f t="shared" si="1"/>
        <v>NO</v>
      </c>
      <c r="H99" s="89">
        <f>'2017 Assembly'!O99</f>
        <v>11.83</v>
      </c>
      <c r="I99" s="89">
        <f>'2022 Assembly'!O99</f>
        <v>36.68</v>
      </c>
      <c r="J99" s="89">
        <f t="shared" si="2"/>
        <v>24.85</v>
      </c>
      <c r="K99" s="89">
        <f>'2017 Assembly'!P99</f>
        <v>83.69</v>
      </c>
      <c r="L99" s="91">
        <f>'2022 Assembly'!P99</f>
        <v>79.25</v>
      </c>
      <c r="M99" s="92">
        <f t="shared" si="3"/>
        <v>-4.44</v>
      </c>
      <c r="N99" s="93" t="str">
        <f>'LS Segments'!G98</f>
        <v>INC</v>
      </c>
      <c r="O99" s="94" t="str">
        <f>'LS Segments'!K98</f>
        <v>AAP</v>
      </c>
      <c r="P99" s="93" t="s">
        <v>32</v>
      </c>
      <c r="Q99" s="95"/>
      <c r="R99" s="93" t="s">
        <v>429</v>
      </c>
      <c r="S99" s="96" t="s">
        <v>428</v>
      </c>
    </row>
    <row r="100">
      <c r="A100" s="89">
        <v>97.0</v>
      </c>
      <c r="B100" s="90" t="s">
        <v>531</v>
      </c>
      <c r="C100" s="90" t="s">
        <v>529</v>
      </c>
      <c r="D100" s="90" t="s">
        <v>35</v>
      </c>
      <c r="E100" s="90" t="str">
        <f>'2017 Assembly'!G100</f>
        <v>SAD</v>
      </c>
      <c r="F100" s="90" t="str">
        <f>'2022 Assembly'!G100:G216</f>
        <v>AAP</v>
      </c>
      <c r="G100" s="90" t="str">
        <f t="shared" si="1"/>
        <v>YES</v>
      </c>
      <c r="H100" s="89">
        <f>'2017 Assembly'!O100</f>
        <v>5.8</v>
      </c>
      <c r="I100" s="89">
        <f>'2022 Assembly'!O100</f>
        <v>27.19</v>
      </c>
      <c r="J100" s="89">
        <f t="shared" si="2"/>
        <v>21.39</v>
      </c>
      <c r="K100" s="89">
        <f>'2017 Assembly'!P100</f>
        <v>88.17</v>
      </c>
      <c r="L100" s="91">
        <f>'2022 Assembly'!P100</f>
        <v>83.6</v>
      </c>
      <c r="M100" s="92">
        <f t="shared" si="3"/>
        <v>-4.57</v>
      </c>
      <c r="N100" s="93" t="str">
        <f>'LS Segments'!G99</f>
        <v>INC</v>
      </c>
      <c r="O100" s="94" t="str">
        <f>'LS Segments'!K99</f>
        <v>AAP</v>
      </c>
      <c r="P100" s="93" t="s">
        <v>32</v>
      </c>
      <c r="Q100" s="95"/>
      <c r="R100" s="93" t="s">
        <v>424</v>
      </c>
      <c r="S100" s="96" t="s">
        <v>428</v>
      </c>
    </row>
    <row r="101">
      <c r="A101" s="89">
        <v>98.0</v>
      </c>
      <c r="B101" s="90" t="s">
        <v>532</v>
      </c>
      <c r="C101" s="90" t="s">
        <v>529</v>
      </c>
      <c r="D101" s="90" t="s">
        <v>35</v>
      </c>
      <c r="E101" s="90" t="str">
        <f>'2017 Assembly'!G101</f>
        <v>AAP</v>
      </c>
      <c r="F101" s="90" t="str">
        <f>'2022 Assembly'!G101:G217</f>
        <v>AAP</v>
      </c>
      <c r="G101" s="90" t="str">
        <f t="shared" si="1"/>
        <v>NO</v>
      </c>
      <c r="H101" s="89">
        <f>'2017 Assembly'!O101</f>
        <v>0.79</v>
      </c>
      <c r="I101" s="89">
        <f>'2022 Assembly'!O101</f>
        <v>32.41</v>
      </c>
      <c r="J101" s="89">
        <f t="shared" si="2"/>
        <v>31.62</v>
      </c>
      <c r="K101" s="89">
        <f>'2017 Assembly'!P101</f>
        <v>87.17</v>
      </c>
      <c r="L101" s="91">
        <f>'2022 Assembly'!P101</f>
        <v>81.64</v>
      </c>
      <c r="M101" s="92">
        <f t="shared" si="3"/>
        <v>-5.53</v>
      </c>
      <c r="N101" s="93" t="str">
        <f>'LS Segments'!G100</f>
        <v>SAD</v>
      </c>
      <c r="O101" s="94" t="str">
        <f>'LS Segments'!K100</f>
        <v>SAD</v>
      </c>
      <c r="P101" s="93" t="s">
        <v>32</v>
      </c>
      <c r="Q101" s="95"/>
      <c r="R101" s="93" t="s">
        <v>429</v>
      </c>
      <c r="S101" s="96" t="s">
        <v>565</v>
      </c>
    </row>
    <row r="102">
      <c r="A102" s="89">
        <v>99.0</v>
      </c>
      <c r="B102" s="90" t="s">
        <v>533</v>
      </c>
      <c r="C102" s="90" t="s">
        <v>545</v>
      </c>
      <c r="D102" s="90" t="s">
        <v>35</v>
      </c>
      <c r="E102" s="90" t="str">
        <f>'2017 Assembly'!G102</f>
        <v>SAD</v>
      </c>
      <c r="F102" s="90" t="str">
        <f>'2022 Assembly'!G102:G218</f>
        <v>AAP</v>
      </c>
      <c r="G102" s="90" t="str">
        <f t="shared" si="1"/>
        <v>YES</v>
      </c>
      <c r="H102" s="89">
        <f>'2017 Assembly'!O102</f>
        <v>19.54</v>
      </c>
      <c r="I102" s="89">
        <f>'2022 Assembly'!O102</f>
        <v>19.4</v>
      </c>
      <c r="J102" s="89">
        <f t="shared" si="2"/>
        <v>-0.14</v>
      </c>
      <c r="K102" s="89">
        <f>'2017 Assembly'!P102</f>
        <v>84.66</v>
      </c>
      <c r="L102" s="91">
        <f>'2022 Assembly'!P102</f>
        <v>79.63</v>
      </c>
      <c r="M102" s="92">
        <f t="shared" si="3"/>
        <v>-5.03</v>
      </c>
      <c r="N102" s="93" t="str">
        <f>'LS Segments'!G101</f>
        <v>SAD</v>
      </c>
      <c r="O102" s="94" t="str">
        <f>'LS Segments'!K101</f>
        <v>AAP</v>
      </c>
      <c r="P102" s="93" t="s">
        <v>32</v>
      </c>
      <c r="Q102" s="95"/>
      <c r="R102" s="93" t="s">
        <v>424</v>
      </c>
      <c r="S102" s="96" t="s">
        <v>428</v>
      </c>
    </row>
    <row r="103">
      <c r="A103" s="89">
        <v>100.0</v>
      </c>
      <c r="B103" s="90" t="s">
        <v>534</v>
      </c>
      <c r="C103" s="90" t="s">
        <v>545</v>
      </c>
      <c r="D103" s="90" t="s">
        <v>35</v>
      </c>
      <c r="E103" s="90" t="str">
        <f>'2017 Assembly'!G103</f>
        <v>AAP</v>
      </c>
      <c r="F103" s="90" t="str">
        <f>'2022 Assembly'!G103:G219</f>
        <v>AAP</v>
      </c>
      <c r="G103" s="90" t="str">
        <f t="shared" si="1"/>
        <v>NO</v>
      </c>
      <c r="H103" s="89">
        <f>'2017 Assembly'!O103</f>
        <v>1.14</v>
      </c>
      <c r="I103" s="89">
        <f>'2022 Assembly'!O103</f>
        <v>35.11</v>
      </c>
      <c r="J103" s="89">
        <f t="shared" si="2"/>
        <v>33.97</v>
      </c>
      <c r="K103" s="89">
        <f>'2017 Assembly'!P103</f>
        <v>82.96</v>
      </c>
      <c r="L103" s="91">
        <f>'2022 Assembly'!P103</f>
        <v>79.04</v>
      </c>
      <c r="M103" s="92">
        <f t="shared" si="3"/>
        <v>-3.92</v>
      </c>
      <c r="N103" s="93" t="str">
        <f>'LS Segments'!G102</f>
        <v>AAP</v>
      </c>
      <c r="O103" s="94" t="str">
        <f>'LS Segments'!K102</f>
        <v>AAP</v>
      </c>
      <c r="P103" s="93" t="s">
        <v>32</v>
      </c>
      <c r="Q103" s="95"/>
      <c r="R103" s="93" t="s">
        <v>429</v>
      </c>
      <c r="S103" s="96" t="s">
        <v>428</v>
      </c>
    </row>
    <row r="104">
      <c r="A104" s="89">
        <v>101.0</v>
      </c>
      <c r="B104" s="90" t="s">
        <v>536</v>
      </c>
      <c r="C104" s="90" t="s">
        <v>545</v>
      </c>
      <c r="D104" s="90" t="s">
        <v>35</v>
      </c>
      <c r="E104" s="90" t="str">
        <f>'2017 Assembly'!G104</f>
        <v>AAP</v>
      </c>
      <c r="F104" s="90" t="str">
        <f>'2022 Assembly'!G104:G220</f>
        <v>AAP</v>
      </c>
      <c r="G104" s="90" t="str">
        <f t="shared" si="1"/>
        <v>NO</v>
      </c>
      <c r="H104" s="89">
        <f>'2017 Assembly'!O104</f>
        <v>19.72</v>
      </c>
      <c r="I104" s="89">
        <f>'2022 Assembly'!O104</f>
        <v>49.14</v>
      </c>
      <c r="J104" s="89">
        <f t="shared" si="2"/>
        <v>29.42</v>
      </c>
      <c r="K104" s="89">
        <f>'2017 Assembly'!P104</f>
        <v>82.94</v>
      </c>
      <c r="L104" s="91">
        <f>'2022 Assembly'!P104</f>
        <v>78.54</v>
      </c>
      <c r="M104" s="92">
        <f t="shared" si="3"/>
        <v>-4.4</v>
      </c>
      <c r="N104" s="93" t="str">
        <f>'LS Segments'!G103</f>
        <v>AAP</v>
      </c>
      <c r="O104" s="94" t="str">
        <f>'LS Segments'!K103</f>
        <v>AAP</v>
      </c>
      <c r="P104" s="93" t="s">
        <v>32</v>
      </c>
      <c r="Q104" s="95"/>
      <c r="R104" s="93" t="s">
        <v>429</v>
      </c>
      <c r="S104" s="96" t="s">
        <v>428</v>
      </c>
    </row>
    <row r="105">
      <c r="A105" s="89">
        <v>102.0</v>
      </c>
      <c r="B105" s="90" t="s">
        <v>537</v>
      </c>
      <c r="C105" s="90" t="s">
        <v>538</v>
      </c>
      <c r="D105" s="90" t="s">
        <v>35</v>
      </c>
      <c r="E105" s="90" t="str">
        <f>'2017 Assembly'!G105</f>
        <v>AAP</v>
      </c>
      <c r="F105" s="90" t="str">
        <f>'2022 Assembly'!G105:G221</f>
        <v>AAP</v>
      </c>
      <c r="G105" s="90" t="str">
        <f t="shared" si="1"/>
        <v>NO</v>
      </c>
      <c r="H105" s="89">
        <f>'2017 Assembly'!O105</f>
        <v>16.43</v>
      </c>
      <c r="I105" s="89">
        <f>'2022 Assembly'!O105</f>
        <v>30.19</v>
      </c>
      <c r="J105" s="89">
        <f t="shared" si="2"/>
        <v>13.76</v>
      </c>
      <c r="K105" s="89">
        <f>'2017 Assembly'!P105</f>
        <v>82.55</v>
      </c>
      <c r="L105" s="91">
        <f>'2022 Assembly'!P105</f>
        <v>78.99</v>
      </c>
      <c r="M105" s="92">
        <f t="shared" si="3"/>
        <v>-3.56</v>
      </c>
      <c r="N105" s="93" t="str">
        <f>'LS Segments'!G104</f>
        <v>AAP</v>
      </c>
      <c r="O105" s="94" t="str">
        <f>'LS Segments'!K104</f>
        <v>AAP</v>
      </c>
      <c r="P105" s="93" t="s">
        <v>32</v>
      </c>
      <c r="Q105" s="95"/>
      <c r="R105" s="93" t="s">
        <v>429</v>
      </c>
      <c r="S105" s="96" t="s">
        <v>428</v>
      </c>
    </row>
    <row r="106">
      <c r="A106" s="89">
        <v>103.0</v>
      </c>
      <c r="B106" s="90" t="s">
        <v>538</v>
      </c>
      <c r="C106" s="90" t="s">
        <v>538</v>
      </c>
      <c r="D106" s="90" t="s">
        <v>35</v>
      </c>
      <c r="E106" s="90" t="str">
        <f>'2017 Assembly'!G106</f>
        <v>AAP</v>
      </c>
      <c r="F106" s="90" t="str">
        <f>'2022 Assembly'!G106:G222</f>
        <v>AAP</v>
      </c>
      <c r="G106" s="90" t="str">
        <f t="shared" si="1"/>
        <v>NO</v>
      </c>
      <c r="H106" s="89">
        <f>'2017 Assembly'!O106</f>
        <v>1.82</v>
      </c>
      <c r="I106" s="89">
        <f>'2022 Assembly'!O106</f>
        <v>28.79</v>
      </c>
      <c r="J106" s="89">
        <f t="shared" si="2"/>
        <v>26.97</v>
      </c>
      <c r="K106" s="89">
        <f>'2017 Assembly'!P106</f>
        <v>77.5</v>
      </c>
      <c r="L106" s="91">
        <f>'2022 Assembly'!P106</f>
        <v>71.81</v>
      </c>
      <c r="M106" s="92">
        <f t="shared" si="3"/>
        <v>-5.69</v>
      </c>
      <c r="N106" s="93" t="str">
        <f>'LS Segments'!G105</f>
        <v>AAP</v>
      </c>
      <c r="O106" s="94" t="str">
        <f>'LS Segments'!K105</f>
        <v>AAP</v>
      </c>
      <c r="P106" s="93" t="s">
        <v>45</v>
      </c>
      <c r="Q106" s="99" t="s">
        <v>581</v>
      </c>
      <c r="R106" s="93" t="s">
        <v>443</v>
      </c>
      <c r="S106" s="96" t="s">
        <v>428</v>
      </c>
    </row>
    <row r="107">
      <c r="A107" s="89">
        <v>104.0</v>
      </c>
      <c r="B107" s="90" t="s">
        <v>540</v>
      </c>
      <c r="C107" s="90" t="s">
        <v>538</v>
      </c>
      <c r="D107" s="90" t="s">
        <v>35</v>
      </c>
      <c r="E107" s="90" t="str">
        <f>'2017 Assembly'!G107</f>
        <v>AAP</v>
      </c>
      <c r="F107" s="90" t="str">
        <f>'2022 Assembly'!G107:G223</f>
        <v>AAP</v>
      </c>
      <c r="G107" s="90" t="str">
        <f t="shared" si="1"/>
        <v>NO</v>
      </c>
      <c r="H107" s="89">
        <f>'2017 Assembly'!O107</f>
        <v>21.69</v>
      </c>
      <c r="I107" s="89">
        <f>'2022 Assembly'!O107</f>
        <v>26.47</v>
      </c>
      <c r="J107" s="89">
        <f t="shared" si="2"/>
        <v>4.78</v>
      </c>
      <c r="K107" s="89">
        <f>'2017 Assembly'!P107</f>
        <v>80.25</v>
      </c>
      <c r="L107" s="91">
        <f>'2022 Assembly'!P107</f>
        <v>71.54</v>
      </c>
      <c r="M107" s="92">
        <f t="shared" si="3"/>
        <v>-8.71</v>
      </c>
      <c r="N107" s="93" t="str">
        <f>'LS Segments'!G106</f>
        <v>AAP</v>
      </c>
      <c r="O107" s="94" t="str">
        <f>'LS Segments'!K106</f>
        <v>AAP</v>
      </c>
      <c r="P107" s="93" t="s">
        <v>32</v>
      </c>
      <c r="Q107" s="95"/>
      <c r="R107" s="93" t="s">
        <v>429</v>
      </c>
      <c r="S107" s="96" t="s">
        <v>428</v>
      </c>
    </row>
    <row r="108">
      <c r="A108" s="89">
        <v>105.0</v>
      </c>
      <c r="B108" s="90" t="s">
        <v>542</v>
      </c>
      <c r="C108" s="90" t="s">
        <v>542</v>
      </c>
      <c r="D108" s="90" t="s">
        <v>35</v>
      </c>
      <c r="E108" s="90" t="str">
        <f>'2017 Assembly'!G108</f>
        <v>INC</v>
      </c>
      <c r="F108" s="90" t="str">
        <f>'2022 Assembly'!G108:G224</f>
        <v>AAP</v>
      </c>
      <c r="G108" s="90" t="str">
        <f t="shared" si="1"/>
        <v>YES</v>
      </c>
      <c r="H108" s="89">
        <f>'2017 Assembly'!O108</f>
        <v>10.11</v>
      </c>
      <c r="I108" s="89">
        <f>'2022 Assembly'!O108</f>
        <v>17.3</v>
      </c>
      <c r="J108" s="89">
        <f t="shared" si="2"/>
        <v>7.19</v>
      </c>
      <c r="K108" s="89">
        <f>'2017 Assembly'!P108</f>
        <v>84.16</v>
      </c>
      <c r="L108" s="91">
        <f>'2022 Assembly'!P108</f>
        <v>78.59</v>
      </c>
      <c r="M108" s="92">
        <f t="shared" si="3"/>
        <v>-5.57</v>
      </c>
      <c r="N108" s="93" t="str">
        <f>'LS Segments'!G107</f>
        <v>INC</v>
      </c>
      <c r="O108" s="94" t="str">
        <f>'LS Segments'!K107</f>
        <v>INC</v>
      </c>
      <c r="P108" s="93" t="s">
        <v>32</v>
      </c>
      <c r="Q108" s="95"/>
      <c r="R108" s="93" t="s">
        <v>424</v>
      </c>
      <c r="S108" s="96" t="s">
        <v>434</v>
      </c>
    </row>
    <row r="109">
      <c r="A109" s="89">
        <v>106.0</v>
      </c>
      <c r="B109" s="90" t="s">
        <v>543</v>
      </c>
      <c r="C109" s="90" t="s">
        <v>542</v>
      </c>
      <c r="D109" s="90" t="s">
        <v>35</v>
      </c>
      <c r="E109" s="90" t="str">
        <f>'2017 Assembly'!G109</f>
        <v>INC</v>
      </c>
      <c r="F109" s="90" t="str">
        <f>'2022 Assembly'!G109:G225</f>
        <v>AAP</v>
      </c>
      <c r="G109" s="90" t="str">
        <f t="shared" si="1"/>
        <v>YES</v>
      </c>
      <c r="H109" s="89">
        <f>'2017 Assembly'!O109</f>
        <v>9.09</v>
      </c>
      <c r="I109" s="89">
        <f>'2022 Assembly'!O109</f>
        <v>4.67</v>
      </c>
      <c r="J109" s="89">
        <f t="shared" si="2"/>
        <v>-4.42</v>
      </c>
      <c r="K109" s="89">
        <f>'2017 Assembly'!P109</f>
        <v>83.65</v>
      </c>
      <c r="L109" s="91">
        <f>'2022 Assembly'!P109</f>
        <v>77.95</v>
      </c>
      <c r="M109" s="92">
        <f t="shared" si="3"/>
        <v>-5.7</v>
      </c>
      <c r="N109" s="93" t="str">
        <f>'LS Segments'!G108</f>
        <v>INC</v>
      </c>
      <c r="O109" s="94" t="str">
        <f>'LS Segments'!K108</f>
        <v>AAP</v>
      </c>
      <c r="P109" s="93" t="s">
        <v>32</v>
      </c>
      <c r="Q109" s="95"/>
      <c r="R109" s="93" t="s">
        <v>424</v>
      </c>
      <c r="S109" s="96" t="s">
        <v>428</v>
      </c>
    </row>
    <row r="110">
      <c r="A110" s="89">
        <v>107.0</v>
      </c>
      <c r="B110" s="90" t="s">
        <v>544</v>
      </c>
      <c r="C110" s="90" t="s">
        <v>545</v>
      </c>
      <c r="D110" s="90" t="s">
        <v>35</v>
      </c>
      <c r="E110" s="90" t="str">
        <f>'2017 Assembly'!G110</f>
        <v>INC</v>
      </c>
      <c r="F110" s="90" t="str">
        <f>'2022 Assembly'!G110:G226</f>
        <v>AAP</v>
      </c>
      <c r="G110" s="90" t="str">
        <f t="shared" si="1"/>
        <v>YES</v>
      </c>
      <c r="H110" s="89">
        <f>'2017 Assembly'!O110</f>
        <v>2.2</v>
      </c>
      <c r="I110" s="89">
        <f>'2022 Assembly'!O110</f>
        <v>45.59</v>
      </c>
      <c r="J110" s="89">
        <f t="shared" si="2"/>
        <v>43.39</v>
      </c>
      <c r="K110" s="89">
        <f>'2017 Assembly'!P110</f>
        <v>80.61</v>
      </c>
      <c r="L110" s="91">
        <f>'2022 Assembly'!P110</f>
        <v>77.32</v>
      </c>
      <c r="M110" s="92">
        <f t="shared" si="3"/>
        <v>-3.29</v>
      </c>
      <c r="N110" s="93" t="str">
        <f>'LS Segments'!G109</f>
        <v>AAP</v>
      </c>
      <c r="O110" s="94" t="str">
        <f>'LS Segments'!K109</f>
        <v>AAP</v>
      </c>
      <c r="P110" s="93" t="s">
        <v>32</v>
      </c>
      <c r="Q110" s="95"/>
      <c r="R110" s="93" t="s">
        <v>424</v>
      </c>
      <c r="S110" s="96" t="s">
        <v>428</v>
      </c>
    </row>
    <row r="111">
      <c r="A111" s="89">
        <v>108.0</v>
      </c>
      <c r="B111" s="90" t="s">
        <v>545</v>
      </c>
      <c r="C111" s="90" t="s">
        <v>545</v>
      </c>
      <c r="D111" s="90" t="s">
        <v>35</v>
      </c>
      <c r="E111" s="90" t="str">
        <f>'2017 Assembly'!G111</f>
        <v>INC</v>
      </c>
      <c r="F111" s="90" t="str">
        <f>'2022 Assembly'!G111:G227</f>
        <v>AAP</v>
      </c>
      <c r="G111" s="90" t="str">
        <f t="shared" si="1"/>
        <v>YES</v>
      </c>
      <c r="H111" s="89">
        <f>'2017 Assembly'!O111</f>
        <v>21.7</v>
      </c>
      <c r="I111" s="89">
        <f>'2022 Assembly'!O111</f>
        <v>25.29</v>
      </c>
      <c r="J111" s="89">
        <f t="shared" si="2"/>
        <v>3.59</v>
      </c>
      <c r="K111" s="89">
        <f>'2017 Assembly'!P111</f>
        <v>80.18</v>
      </c>
      <c r="L111" s="91">
        <f>'2022 Assembly'!P111</f>
        <v>76.04</v>
      </c>
      <c r="M111" s="92">
        <f t="shared" si="3"/>
        <v>-4.14</v>
      </c>
      <c r="N111" s="93" t="str">
        <f>'LS Segments'!G110</f>
        <v>AAP</v>
      </c>
      <c r="O111" s="94" t="str">
        <f>'LS Segments'!K110</f>
        <v>AAP</v>
      </c>
      <c r="P111" s="93" t="s">
        <v>32</v>
      </c>
      <c r="Q111" s="95"/>
      <c r="R111" s="93" t="s">
        <v>424</v>
      </c>
      <c r="S111" s="96" t="s">
        <v>428</v>
      </c>
    </row>
    <row r="112">
      <c r="A112" s="89">
        <v>109.0</v>
      </c>
      <c r="B112" s="90" t="s">
        <v>547</v>
      </c>
      <c r="C112" s="90" t="s">
        <v>555</v>
      </c>
      <c r="D112" s="90" t="s">
        <v>35</v>
      </c>
      <c r="E112" s="90" t="str">
        <f>'2017 Assembly'!G112</f>
        <v>INC</v>
      </c>
      <c r="F112" s="90" t="str">
        <f>'2022 Assembly'!G112:G228</f>
        <v>AAP</v>
      </c>
      <c r="G112" s="90" t="str">
        <f t="shared" si="1"/>
        <v>YES</v>
      </c>
      <c r="H112" s="89">
        <f>'2017 Assembly'!O112</f>
        <v>13.46</v>
      </c>
      <c r="I112" s="89">
        <f>'2022 Assembly'!O112</f>
        <v>37.2</v>
      </c>
      <c r="J112" s="89">
        <f t="shared" si="2"/>
        <v>23.74</v>
      </c>
      <c r="K112" s="89">
        <f>'2017 Assembly'!P112</f>
        <v>80.35</v>
      </c>
      <c r="L112" s="91">
        <f>'2022 Assembly'!P112</f>
        <v>77.07</v>
      </c>
      <c r="M112" s="92">
        <f t="shared" si="3"/>
        <v>-3.28</v>
      </c>
      <c r="N112" s="93" t="str">
        <f>'LS Segments'!G111</f>
        <v>INC</v>
      </c>
      <c r="O112" s="94" t="str">
        <f>'LS Segments'!K111</f>
        <v>INC</v>
      </c>
      <c r="P112" s="93" t="s">
        <v>32</v>
      </c>
      <c r="Q112" s="95"/>
      <c r="R112" s="93" t="s">
        <v>424</v>
      </c>
      <c r="S112" s="96" t="s">
        <v>434</v>
      </c>
    </row>
    <row r="113">
      <c r="A113" s="89">
        <v>110.0</v>
      </c>
      <c r="B113" s="90" t="s">
        <v>548</v>
      </c>
      <c r="C113" s="90" t="s">
        <v>555</v>
      </c>
      <c r="D113" s="90" t="s">
        <v>35</v>
      </c>
      <c r="E113" s="90" t="str">
        <f>'2017 Assembly'!G113</f>
        <v>INC</v>
      </c>
      <c r="F113" s="90" t="str">
        <f>'2022 Assembly'!G113:G229</f>
        <v>AAP</v>
      </c>
      <c r="G113" s="90" t="str">
        <f t="shared" si="1"/>
        <v>YES</v>
      </c>
      <c r="H113" s="89">
        <f>'2017 Assembly'!O113</f>
        <v>18.69</v>
      </c>
      <c r="I113" s="89">
        <f>'2022 Assembly'!O113</f>
        <v>36.26</v>
      </c>
      <c r="J113" s="89">
        <f t="shared" si="2"/>
        <v>17.57</v>
      </c>
      <c r="K113" s="89">
        <f>'2017 Assembly'!P113</f>
        <v>70.85</v>
      </c>
      <c r="L113" s="91">
        <f>'2022 Assembly'!P113</f>
        <v>65.58</v>
      </c>
      <c r="M113" s="92">
        <f t="shared" si="3"/>
        <v>-5.27</v>
      </c>
      <c r="N113" s="93" t="str">
        <f>'LS Segments'!G112</f>
        <v>INC</v>
      </c>
      <c r="O113" s="94" t="str">
        <f>'LS Segments'!K112</f>
        <v>AAP</v>
      </c>
      <c r="P113" s="93" t="s">
        <v>32</v>
      </c>
      <c r="Q113" s="95"/>
      <c r="R113" s="93" t="s">
        <v>424</v>
      </c>
      <c r="S113" s="96" t="s">
        <v>428</v>
      </c>
    </row>
    <row r="114">
      <c r="A114" s="89">
        <v>111.0</v>
      </c>
      <c r="B114" s="90" t="s">
        <v>549</v>
      </c>
      <c r="C114" s="90" t="s">
        <v>555</v>
      </c>
      <c r="D114" s="90" t="s">
        <v>35</v>
      </c>
      <c r="E114" s="90" t="str">
        <f>'2017 Assembly'!G114</f>
        <v>INC</v>
      </c>
      <c r="F114" s="90" t="str">
        <f>'2022 Assembly'!G114:G230</f>
        <v>AAP</v>
      </c>
      <c r="G114" s="90" t="str">
        <f t="shared" si="1"/>
        <v>YES</v>
      </c>
      <c r="H114" s="89">
        <f>'2017 Assembly'!O114</f>
        <v>25.63</v>
      </c>
      <c r="I114" s="89">
        <f>'2022 Assembly'!O114</f>
        <v>16.56</v>
      </c>
      <c r="J114" s="89">
        <f t="shared" si="2"/>
        <v>-9.07</v>
      </c>
      <c r="K114" s="89">
        <f>'2017 Assembly'!P114</f>
        <v>76.25</v>
      </c>
      <c r="L114" s="91">
        <f>'2022 Assembly'!P114</f>
        <v>74.86</v>
      </c>
      <c r="M114" s="92">
        <f t="shared" si="3"/>
        <v>-1.39</v>
      </c>
      <c r="N114" s="93" t="str">
        <f>'LS Segments'!G113</f>
        <v>INC</v>
      </c>
      <c r="O114" s="94" t="str">
        <f>'LS Segments'!K113</f>
        <v>BJP</v>
      </c>
      <c r="P114" s="93" t="s">
        <v>32</v>
      </c>
      <c r="Q114" s="95"/>
      <c r="R114" s="93" t="s">
        <v>424</v>
      </c>
      <c r="S114" s="96" t="s">
        <v>425</v>
      </c>
    </row>
    <row r="115">
      <c r="A115" s="89">
        <v>112.0</v>
      </c>
      <c r="B115" s="90" t="s">
        <v>551</v>
      </c>
      <c r="C115" s="90" t="s">
        <v>472</v>
      </c>
      <c r="D115" s="90" t="s">
        <v>35</v>
      </c>
      <c r="E115" s="90" t="str">
        <f>'2017 Assembly'!G115</f>
        <v>SAD</v>
      </c>
      <c r="F115" s="90" t="str">
        <f>'2022 Assembly'!G115:G231</f>
        <v>AAP</v>
      </c>
      <c r="G115" s="90" t="str">
        <f t="shared" si="1"/>
        <v>YES</v>
      </c>
      <c r="H115" s="89">
        <f>'2017 Assembly'!O115</f>
        <v>1.09</v>
      </c>
      <c r="I115" s="89">
        <f>'2022 Assembly'!O115</f>
        <v>10.96</v>
      </c>
      <c r="J115" s="89">
        <f t="shared" si="2"/>
        <v>9.87</v>
      </c>
      <c r="K115" s="89">
        <f>'2017 Assembly'!P115</f>
        <v>73.7</v>
      </c>
      <c r="L115" s="91">
        <f>'2022 Assembly'!P115</f>
        <v>69.18</v>
      </c>
      <c r="M115" s="92">
        <f t="shared" si="3"/>
        <v>-4.52</v>
      </c>
      <c r="N115" s="93" t="str">
        <f>'LS Segments'!G114</f>
        <v>SAD</v>
      </c>
      <c r="O115" s="94" t="str">
        <f>'LS Segments'!K114</f>
        <v>BJP</v>
      </c>
      <c r="P115" s="93" t="s">
        <v>32</v>
      </c>
      <c r="Q115" s="95"/>
      <c r="R115" s="93" t="s">
        <v>424</v>
      </c>
      <c r="S115" s="96" t="s">
        <v>425</v>
      </c>
    </row>
    <row r="116">
      <c r="A116" s="89">
        <v>113.0</v>
      </c>
      <c r="B116" s="90" t="s">
        <v>553</v>
      </c>
      <c r="C116" s="90" t="s">
        <v>555</v>
      </c>
      <c r="D116" s="90" t="s">
        <v>35</v>
      </c>
      <c r="E116" s="90" t="str">
        <f>'2017 Assembly'!G116</f>
        <v>INC</v>
      </c>
      <c r="F116" s="90" t="str">
        <f>'2022 Assembly'!G116:G232</f>
        <v>AAP</v>
      </c>
      <c r="G116" s="90" t="str">
        <f t="shared" si="1"/>
        <v>YES</v>
      </c>
      <c r="H116" s="89">
        <f>'2017 Assembly'!O116</f>
        <v>29.33</v>
      </c>
      <c r="I116" s="89">
        <f>'2022 Assembly'!O116</f>
        <v>24.6</v>
      </c>
      <c r="J116" s="89">
        <f t="shared" si="2"/>
        <v>-4.73</v>
      </c>
      <c r="K116" s="89">
        <f>'2017 Assembly'!P116</f>
        <v>79.94</v>
      </c>
      <c r="L116" s="91">
        <f>'2022 Assembly'!P116</f>
        <v>78.97</v>
      </c>
      <c r="M116" s="92">
        <f t="shared" si="3"/>
        <v>-0.97</v>
      </c>
      <c r="N116" s="93" t="str">
        <f>'LS Segments'!G115</f>
        <v>INC</v>
      </c>
      <c r="O116" s="94" t="str">
        <f>'LS Segments'!K115</f>
        <v>INC</v>
      </c>
      <c r="P116" s="93" t="s">
        <v>32</v>
      </c>
      <c r="Q116" s="95"/>
      <c r="R116" s="93" t="s">
        <v>424</v>
      </c>
      <c r="S116" s="96" t="s">
        <v>434</v>
      </c>
    </row>
    <row r="117">
      <c r="A117" s="89">
        <v>114.0</v>
      </c>
      <c r="B117" s="90" t="s">
        <v>554</v>
      </c>
      <c r="C117" s="90" t="s">
        <v>555</v>
      </c>
      <c r="D117" s="90" t="s">
        <v>35</v>
      </c>
      <c r="E117" s="90" t="str">
        <f>'2017 Assembly'!G117</f>
        <v>SAD</v>
      </c>
      <c r="F117" s="90" t="str">
        <f>'2022 Assembly'!G117:G233</f>
        <v>AAP</v>
      </c>
      <c r="G117" s="90" t="str">
        <f t="shared" si="1"/>
        <v>YES</v>
      </c>
      <c r="H117" s="89">
        <f>'2017 Assembly'!O117</f>
        <v>2.97</v>
      </c>
      <c r="I117" s="89">
        <f>'2022 Assembly'!O117</f>
        <v>30.06</v>
      </c>
      <c r="J117" s="89">
        <f t="shared" si="2"/>
        <v>27.09</v>
      </c>
      <c r="K117" s="89">
        <f>'2017 Assembly'!P117</f>
        <v>80.04</v>
      </c>
      <c r="L117" s="91">
        <f>'2022 Assembly'!P117</f>
        <v>73.79</v>
      </c>
      <c r="M117" s="92">
        <f t="shared" si="3"/>
        <v>-6.25</v>
      </c>
      <c r="N117" s="93" t="str">
        <f>'LS Segments'!G116</f>
        <v>INC</v>
      </c>
      <c r="O117" s="94" t="str">
        <f>'LS Segments'!K116</f>
        <v>AAP</v>
      </c>
      <c r="P117" s="93" t="s">
        <v>32</v>
      </c>
      <c r="Q117" s="95"/>
      <c r="R117" s="93" t="s">
        <v>424</v>
      </c>
      <c r="S117" s="96" t="s">
        <v>428</v>
      </c>
    </row>
    <row r="118">
      <c r="A118" s="89">
        <v>115.0</v>
      </c>
      <c r="B118" s="90" t="s">
        <v>555</v>
      </c>
      <c r="C118" s="90" t="s">
        <v>555</v>
      </c>
      <c r="D118" s="90" t="s">
        <v>35</v>
      </c>
      <c r="E118" s="90" t="str">
        <f>'2017 Assembly'!G118</f>
        <v>INC</v>
      </c>
      <c r="F118" s="90" t="str">
        <f>'2022 Assembly'!G118:G234</f>
        <v>AAP</v>
      </c>
      <c r="G118" s="90" t="str">
        <f t="shared" si="1"/>
        <v>YES</v>
      </c>
      <c r="H118" s="89">
        <f>'2017 Assembly'!O118</f>
        <v>49.81</v>
      </c>
      <c r="I118" s="89">
        <f>'2022 Assembly'!O118</f>
        <v>19.35</v>
      </c>
      <c r="J118" s="89">
        <f t="shared" si="2"/>
        <v>-30.46</v>
      </c>
      <c r="K118" s="89">
        <f>'2017 Assembly'!P118</f>
        <v>66.23</v>
      </c>
      <c r="L118" s="91">
        <f>'2022 Assembly'!P118</f>
        <v>64.03</v>
      </c>
      <c r="M118" s="92">
        <f t="shared" si="3"/>
        <v>-2.2</v>
      </c>
      <c r="N118" s="93" t="str">
        <f>'LS Segments'!G117</f>
        <v>INC</v>
      </c>
      <c r="O118" s="94" t="str">
        <f>'LS Segments'!K117</f>
        <v>BJP</v>
      </c>
      <c r="P118" s="93" t="s">
        <v>32</v>
      </c>
      <c r="Q118" s="95"/>
      <c r="R118" s="93" t="s">
        <v>424</v>
      </c>
      <c r="S118" s="96" t="s">
        <v>425</v>
      </c>
    </row>
    <row r="119">
      <c r="A119" s="89">
        <v>116.0</v>
      </c>
      <c r="B119" s="90" t="s">
        <v>557</v>
      </c>
      <c r="C119" s="90" t="s">
        <v>555</v>
      </c>
      <c r="D119" s="90" t="s">
        <v>35</v>
      </c>
      <c r="E119" s="90" t="str">
        <f>'2017 Assembly'!G119</f>
        <v>INC</v>
      </c>
      <c r="F119" s="90" t="str">
        <f>'2022 Assembly'!G119:G235</f>
        <v>AAP</v>
      </c>
      <c r="G119" s="90" t="str">
        <f t="shared" si="1"/>
        <v>YES</v>
      </c>
      <c r="H119" s="89">
        <f>'2017 Assembly'!O119</f>
        <v>6.65</v>
      </c>
      <c r="I119" s="89">
        <f>'2022 Assembly'!O119</f>
        <v>26.97</v>
      </c>
      <c r="J119" s="89">
        <f t="shared" si="2"/>
        <v>20.32</v>
      </c>
      <c r="K119" s="89">
        <f>'2017 Assembly'!P119</f>
        <v>82.99</v>
      </c>
      <c r="L119" s="91">
        <f>'2022 Assembly'!P119</f>
        <v>76.81</v>
      </c>
      <c r="M119" s="92">
        <f t="shared" si="3"/>
        <v>-6.18</v>
      </c>
      <c r="N119" s="93" t="str">
        <f>'LS Segments'!G118</f>
        <v>INC</v>
      </c>
      <c r="O119" s="94" t="str">
        <f>'LS Segments'!K118</f>
        <v>AAP</v>
      </c>
      <c r="P119" s="93" t="s">
        <v>32</v>
      </c>
      <c r="Q119" s="95"/>
      <c r="R119" s="93" t="s">
        <v>424</v>
      </c>
      <c r="S119" s="96" t="s">
        <v>428</v>
      </c>
    </row>
    <row r="120">
      <c r="A120" s="89">
        <v>117.0</v>
      </c>
      <c r="B120" s="90" t="s">
        <v>559</v>
      </c>
      <c r="C120" s="90" t="s">
        <v>555</v>
      </c>
      <c r="D120" s="90" t="s">
        <v>35</v>
      </c>
      <c r="E120" s="90" t="str">
        <f>'2017 Assembly'!G120</f>
        <v>INC</v>
      </c>
      <c r="F120" s="90" t="str">
        <f>'2022 Assembly'!G120:G236</f>
        <v>AAP</v>
      </c>
      <c r="G120" s="90" t="str">
        <f t="shared" si="1"/>
        <v>YES</v>
      </c>
      <c r="H120" s="89">
        <f>'2017 Assembly'!O120</f>
        <v>13.44</v>
      </c>
      <c r="I120" s="89">
        <f>'2022 Assembly'!O120</f>
        <v>37.85</v>
      </c>
      <c r="J120" s="89">
        <f t="shared" si="2"/>
        <v>24.41</v>
      </c>
      <c r="K120" s="89">
        <f>'2017 Assembly'!P120</f>
        <v>83.01</v>
      </c>
      <c r="L120" s="91">
        <f>'2022 Assembly'!P120</f>
        <v>75.54</v>
      </c>
      <c r="M120" s="92">
        <f t="shared" si="3"/>
        <v>-7.47</v>
      </c>
      <c r="N120" s="93" t="str">
        <f>'LS Segments'!G119</f>
        <v>INC</v>
      </c>
      <c r="O120" s="94" t="str">
        <f>'LS Segments'!K119</f>
        <v>AAP</v>
      </c>
      <c r="P120" s="93" t="s">
        <v>32</v>
      </c>
      <c r="Q120" s="95"/>
      <c r="R120" s="93" t="s">
        <v>424</v>
      </c>
      <c r="S120" s="96" t="s">
        <v>428</v>
      </c>
    </row>
    <row r="121">
      <c r="M121" s="107"/>
    </row>
    <row r="122">
      <c r="M122" s="107"/>
    </row>
    <row r="123">
      <c r="M123" s="107"/>
    </row>
    <row r="124">
      <c r="M124" s="107"/>
    </row>
    <row r="125">
      <c r="M125" s="107"/>
    </row>
    <row r="126">
      <c r="M126" s="107"/>
    </row>
    <row r="127">
      <c r="M127" s="107"/>
    </row>
    <row r="128">
      <c r="M128" s="107"/>
    </row>
    <row r="129">
      <c r="M129" s="107"/>
    </row>
    <row r="130">
      <c r="M130" s="107"/>
    </row>
    <row r="131">
      <c r="M131" s="107"/>
    </row>
    <row r="132">
      <c r="M132" s="107"/>
    </row>
    <row r="133">
      <c r="M133" s="107"/>
    </row>
    <row r="134">
      <c r="M134" s="107"/>
    </row>
    <row r="135">
      <c r="M135" s="107"/>
    </row>
    <row r="136">
      <c r="M136" s="107"/>
    </row>
    <row r="137">
      <c r="M137" s="107"/>
    </row>
    <row r="138">
      <c r="M138" s="107"/>
    </row>
    <row r="139">
      <c r="M139" s="107"/>
    </row>
    <row r="140">
      <c r="M140" s="107"/>
    </row>
    <row r="141">
      <c r="M141" s="107"/>
    </row>
    <row r="142">
      <c r="M142" s="107"/>
    </row>
    <row r="143">
      <c r="M143" s="107"/>
    </row>
    <row r="144">
      <c r="M144" s="107"/>
    </row>
    <row r="145">
      <c r="M145" s="107"/>
    </row>
    <row r="146">
      <c r="M146" s="107"/>
    </row>
    <row r="147">
      <c r="M147" s="107"/>
    </row>
    <row r="148">
      <c r="M148" s="107"/>
    </row>
    <row r="149">
      <c r="M149" s="107"/>
    </row>
    <row r="150">
      <c r="M150" s="107"/>
    </row>
    <row r="151">
      <c r="M151" s="107"/>
    </row>
    <row r="152">
      <c r="M152" s="107"/>
    </row>
    <row r="153">
      <c r="M153" s="107"/>
    </row>
    <row r="154">
      <c r="M154" s="107"/>
    </row>
    <row r="155">
      <c r="M155" s="107"/>
    </row>
    <row r="156">
      <c r="M156" s="107"/>
    </row>
    <row r="157">
      <c r="M157" s="107"/>
    </row>
    <row r="158">
      <c r="M158" s="107"/>
    </row>
    <row r="159">
      <c r="M159" s="107"/>
    </row>
    <row r="160">
      <c r="M160" s="107"/>
    </row>
    <row r="161">
      <c r="M161" s="107"/>
    </row>
    <row r="162">
      <c r="M162" s="107"/>
    </row>
    <row r="163">
      <c r="M163" s="107"/>
    </row>
    <row r="164">
      <c r="M164" s="107"/>
    </row>
    <row r="165">
      <c r="M165" s="107"/>
    </row>
    <row r="166">
      <c r="M166" s="107"/>
    </row>
    <row r="167">
      <c r="M167" s="107"/>
    </row>
    <row r="168">
      <c r="M168" s="107"/>
    </row>
    <row r="169">
      <c r="M169" s="107"/>
    </row>
    <row r="170">
      <c r="M170" s="107"/>
    </row>
    <row r="171">
      <c r="M171" s="107"/>
    </row>
    <row r="172">
      <c r="M172" s="107"/>
    </row>
    <row r="173">
      <c r="M173" s="107"/>
    </row>
    <row r="174">
      <c r="M174" s="107"/>
    </row>
    <row r="175">
      <c r="M175" s="107"/>
    </row>
    <row r="176">
      <c r="M176" s="107"/>
    </row>
    <row r="177">
      <c r="M177" s="107"/>
    </row>
    <row r="178">
      <c r="M178" s="107"/>
    </row>
    <row r="179">
      <c r="M179" s="107"/>
    </row>
    <row r="180">
      <c r="M180" s="107"/>
    </row>
    <row r="181">
      <c r="M181" s="107"/>
    </row>
    <row r="182">
      <c r="M182" s="107"/>
    </row>
    <row r="183">
      <c r="M183" s="107"/>
    </row>
    <row r="184">
      <c r="M184" s="107"/>
    </row>
    <row r="185">
      <c r="M185" s="107"/>
    </row>
    <row r="186">
      <c r="M186" s="107"/>
    </row>
    <row r="187">
      <c r="M187" s="107"/>
    </row>
    <row r="188">
      <c r="M188" s="107"/>
    </row>
    <row r="189">
      <c r="M189" s="107"/>
    </row>
    <row r="190">
      <c r="M190" s="107"/>
    </row>
    <row r="191">
      <c r="M191" s="107"/>
    </row>
    <row r="192">
      <c r="M192" s="107"/>
    </row>
    <row r="193">
      <c r="M193" s="107"/>
    </row>
    <row r="194">
      <c r="M194" s="107"/>
    </row>
    <row r="195">
      <c r="M195" s="107"/>
    </row>
    <row r="196">
      <c r="M196" s="107"/>
    </row>
    <row r="197">
      <c r="M197" s="107"/>
    </row>
    <row r="198">
      <c r="M198" s="107"/>
    </row>
    <row r="199">
      <c r="M199" s="107"/>
    </row>
    <row r="200">
      <c r="M200" s="107"/>
    </row>
    <row r="201">
      <c r="M201" s="107"/>
    </row>
    <row r="202">
      <c r="M202" s="107"/>
    </row>
    <row r="203">
      <c r="M203" s="107"/>
    </row>
    <row r="204">
      <c r="M204" s="107"/>
    </row>
    <row r="205">
      <c r="M205" s="107"/>
    </row>
    <row r="206">
      <c r="M206" s="107"/>
    </row>
    <row r="207">
      <c r="M207" s="107"/>
    </row>
    <row r="208">
      <c r="M208" s="107"/>
    </row>
    <row r="209">
      <c r="M209" s="107"/>
    </row>
    <row r="210">
      <c r="M210" s="107"/>
    </row>
    <row r="211">
      <c r="M211" s="107"/>
    </row>
    <row r="212">
      <c r="M212" s="107"/>
    </row>
    <row r="213">
      <c r="M213" s="107"/>
    </row>
    <row r="214">
      <c r="M214" s="107"/>
    </row>
    <row r="215">
      <c r="M215" s="107"/>
    </row>
    <row r="216">
      <c r="M216" s="107"/>
    </row>
    <row r="217">
      <c r="M217" s="107"/>
    </row>
    <row r="218">
      <c r="M218" s="107"/>
    </row>
    <row r="219">
      <c r="M219" s="107"/>
    </row>
    <row r="220">
      <c r="M220" s="107"/>
    </row>
    <row r="221">
      <c r="M221" s="107"/>
    </row>
    <row r="222">
      <c r="M222" s="107"/>
    </row>
    <row r="223">
      <c r="M223" s="107"/>
    </row>
    <row r="224">
      <c r="M224" s="107"/>
    </row>
    <row r="225">
      <c r="M225" s="107"/>
    </row>
    <row r="226">
      <c r="M226" s="107"/>
    </row>
    <row r="227">
      <c r="M227" s="107"/>
    </row>
    <row r="228">
      <c r="M228" s="107"/>
    </row>
    <row r="229">
      <c r="M229" s="107"/>
    </row>
    <row r="230">
      <c r="M230" s="107"/>
    </row>
    <row r="231">
      <c r="M231" s="107"/>
    </row>
    <row r="232">
      <c r="M232" s="107"/>
    </row>
    <row r="233">
      <c r="M233" s="107"/>
    </row>
    <row r="234">
      <c r="M234" s="107"/>
    </row>
    <row r="235">
      <c r="M235" s="107"/>
    </row>
    <row r="236">
      <c r="M236" s="107"/>
    </row>
    <row r="237">
      <c r="M237" s="107"/>
    </row>
    <row r="238">
      <c r="M238" s="107"/>
    </row>
    <row r="239">
      <c r="M239" s="107"/>
    </row>
    <row r="240">
      <c r="M240" s="107"/>
    </row>
    <row r="241">
      <c r="M241" s="107"/>
    </row>
    <row r="242">
      <c r="M242" s="107"/>
    </row>
    <row r="243">
      <c r="M243" s="107"/>
    </row>
    <row r="244">
      <c r="M244" s="107"/>
    </row>
    <row r="245">
      <c r="M245" s="107"/>
    </row>
    <row r="246">
      <c r="M246" s="107"/>
    </row>
    <row r="247">
      <c r="M247" s="107"/>
    </row>
    <row r="248">
      <c r="M248" s="107"/>
    </row>
    <row r="249">
      <c r="M249" s="107"/>
    </row>
    <row r="250">
      <c r="M250" s="107"/>
    </row>
    <row r="251">
      <c r="M251" s="107"/>
    </row>
    <row r="252">
      <c r="M252" s="107"/>
    </row>
    <row r="253">
      <c r="M253" s="107"/>
    </row>
    <row r="254">
      <c r="M254" s="107"/>
    </row>
    <row r="255">
      <c r="M255" s="107"/>
    </row>
    <row r="256">
      <c r="M256" s="107"/>
    </row>
    <row r="257">
      <c r="M257" s="107"/>
    </row>
    <row r="258">
      <c r="M258" s="107"/>
    </row>
    <row r="259">
      <c r="M259" s="107"/>
    </row>
    <row r="260">
      <c r="M260" s="107"/>
    </row>
    <row r="261">
      <c r="M261" s="107"/>
    </row>
    <row r="262">
      <c r="M262" s="107"/>
    </row>
    <row r="263">
      <c r="M263" s="107"/>
    </row>
    <row r="264">
      <c r="M264" s="107"/>
    </row>
    <row r="265">
      <c r="M265" s="107"/>
    </row>
    <row r="266">
      <c r="M266" s="107"/>
    </row>
    <row r="267">
      <c r="M267" s="107"/>
    </row>
    <row r="268">
      <c r="M268" s="107"/>
    </row>
    <row r="269">
      <c r="M269" s="107"/>
    </row>
    <row r="270">
      <c r="M270" s="107"/>
    </row>
    <row r="271">
      <c r="M271" s="107"/>
    </row>
    <row r="272">
      <c r="M272" s="107"/>
    </row>
    <row r="273">
      <c r="M273" s="107"/>
    </row>
    <row r="274">
      <c r="M274" s="107"/>
    </row>
    <row r="275">
      <c r="M275" s="107"/>
    </row>
    <row r="276">
      <c r="M276" s="107"/>
    </row>
    <row r="277">
      <c r="M277" s="107"/>
    </row>
    <row r="278">
      <c r="M278" s="107"/>
    </row>
    <row r="279">
      <c r="M279" s="107"/>
    </row>
    <row r="280">
      <c r="M280" s="107"/>
    </row>
    <row r="281">
      <c r="M281" s="107"/>
    </row>
    <row r="282">
      <c r="M282" s="107"/>
    </row>
    <row r="283">
      <c r="M283" s="107"/>
    </row>
    <row r="284">
      <c r="M284" s="107"/>
    </row>
    <row r="285">
      <c r="M285" s="107"/>
    </row>
    <row r="286">
      <c r="M286" s="107"/>
    </row>
    <row r="287">
      <c r="M287" s="107"/>
    </row>
    <row r="288">
      <c r="M288" s="107"/>
    </row>
    <row r="289">
      <c r="M289" s="107"/>
    </row>
    <row r="290">
      <c r="M290" s="107"/>
    </row>
    <row r="291">
      <c r="M291" s="107"/>
    </row>
    <row r="292">
      <c r="M292" s="107"/>
    </row>
    <row r="293">
      <c r="M293" s="107"/>
    </row>
    <row r="294">
      <c r="M294" s="107"/>
    </row>
    <row r="295">
      <c r="M295" s="107"/>
    </row>
    <row r="296">
      <c r="M296" s="107"/>
    </row>
    <row r="297">
      <c r="M297" s="107"/>
    </row>
    <row r="298">
      <c r="M298" s="107"/>
    </row>
    <row r="299">
      <c r="M299" s="107"/>
    </row>
    <row r="300">
      <c r="M300" s="107"/>
    </row>
    <row r="301">
      <c r="M301" s="107"/>
    </row>
    <row r="302">
      <c r="M302" s="107"/>
    </row>
    <row r="303">
      <c r="M303" s="107"/>
    </row>
    <row r="304">
      <c r="M304" s="107"/>
    </row>
    <row r="305">
      <c r="M305" s="107"/>
    </row>
    <row r="306">
      <c r="M306" s="107"/>
    </row>
    <row r="307">
      <c r="M307" s="107"/>
    </row>
    <row r="308">
      <c r="M308" s="107"/>
    </row>
    <row r="309">
      <c r="M309" s="107"/>
    </row>
    <row r="310">
      <c r="M310" s="107"/>
    </row>
    <row r="311">
      <c r="M311" s="107"/>
    </row>
    <row r="312">
      <c r="M312" s="107"/>
    </row>
    <row r="313">
      <c r="M313" s="107"/>
    </row>
    <row r="314">
      <c r="M314" s="107"/>
    </row>
    <row r="315">
      <c r="M315" s="107"/>
    </row>
    <row r="316">
      <c r="M316" s="107"/>
    </row>
    <row r="317">
      <c r="M317" s="107"/>
    </row>
    <row r="318">
      <c r="M318" s="107"/>
    </row>
    <row r="319">
      <c r="M319" s="107"/>
    </row>
    <row r="320">
      <c r="M320" s="107"/>
    </row>
    <row r="321">
      <c r="M321" s="107"/>
    </row>
    <row r="322">
      <c r="M322" s="107"/>
    </row>
    <row r="323">
      <c r="M323" s="107"/>
    </row>
    <row r="324">
      <c r="M324" s="107"/>
    </row>
    <row r="325">
      <c r="M325" s="107"/>
    </row>
    <row r="326">
      <c r="M326" s="107"/>
    </row>
    <row r="327">
      <c r="M327" s="107"/>
    </row>
    <row r="328">
      <c r="M328" s="107"/>
    </row>
    <row r="329">
      <c r="M329" s="107"/>
    </row>
    <row r="330">
      <c r="M330" s="107"/>
    </row>
    <row r="331">
      <c r="M331" s="107"/>
    </row>
    <row r="332">
      <c r="M332" s="107"/>
    </row>
    <row r="333">
      <c r="M333" s="107"/>
    </row>
    <row r="334">
      <c r="M334" s="107"/>
    </row>
    <row r="335">
      <c r="M335" s="107"/>
    </row>
    <row r="336">
      <c r="M336" s="107"/>
    </row>
    <row r="337">
      <c r="M337" s="107"/>
    </row>
    <row r="338">
      <c r="M338" s="107"/>
    </row>
    <row r="339">
      <c r="M339" s="107"/>
    </row>
    <row r="340">
      <c r="M340" s="107"/>
    </row>
    <row r="341">
      <c r="M341" s="107"/>
    </row>
    <row r="342">
      <c r="M342" s="107"/>
    </row>
    <row r="343">
      <c r="M343" s="107"/>
    </row>
    <row r="344">
      <c r="M344" s="107"/>
    </row>
    <row r="345">
      <c r="M345" s="107"/>
    </row>
    <row r="346">
      <c r="M346" s="107"/>
    </row>
    <row r="347">
      <c r="M347" s="107"/>
    </row>
    <row r="348">
      <c r="M348" s="107"/>
    </row>
    <row r="349">
      <c r="M349" s="107"/>
    </row>
    <row r="350">
      <c r="M350" s="107"/>
    </row>
    <row r="351">
      <c r="M351" s="107"/>
    </row>
    <row r="352">
      <c r="M352" s="107"/>
    </row>
    <row r="353">
      <c r="M353" s="107"/>
    </row>
    <row r="354">
      <c r="M354" s="107"/>
    </row>
    <row r="355">
      <c r="M355" s="107"/>
    </row>
    <row r="356">
      <c r="M356" s="107"/>
    </row>
    <row r="357">
      <c r="M357" s="107"/>
    </row>
    <row r="358">
      <c r="M358" s="107"/>
    </row>
    <row r="359">
      <c r="M359" s="107"/>
    </row>
    <row r="360">
      <c r="M360" s="107"/>
    </row>
    <row r="361">
      <c r="M361" s="107"/>
    </row>
    <row r="362">
      <c r="M362" s="107"/>
    </row>
    <row r="363">
      <c r="M363" s="107"/>
    </row>
    <row r="364">
      <c r="M364" s="107"/>
    </row>
    <row r="365">
      <c r="M365" s="107"/>
    </row>
    <row r="366">
      <c r="M366" s="107"/>
    </row>
    <row r="367">
      <c r="M367" s="107"/>
    </row>
    <row r="368">
      <c r="M368" s="107"/>
    </row>
    <row r="369">
      <c r="M369" s="107"/>
    </row>
    <row r="370">
      <c r="M370" s="107"/>
    </row>
    <row r="371">
      <c r="M371" s="107"/>
    </row>
    <row r="372">
      <c r="M372" s="107"/>
    </row>
    <row r="373">
      <c r="M373" s="107"/>
    </row>
    <row r="374">
      <c r="M374" s="107"/>
    </row>
    <row r="375">
      <c r="M375" s="107"/>
    </row>
    <row r="376">
      <c r="M376" s="107"/>
    </row>
    <row r="377">
      <c r="M377" s="107"/>
    </row>
    <row r="378">
      <c r="M378" s="107"/>
    </row>
    <row r="379">
      <c r="M379" s="107"/>
    </row>
    <row r="380">
      <c r="M380" s="107"/>
    </row>
    <row r="381">
      <c r="M381" s="107"/>
    </row>
    <row r="382">
      <c r="M382" s="107"/>
    </row>
    <row r="383">
      <c r="M383" s="107"/>
    </row>
    <row r="384">
      <c r="M384" s="107"/>
    </row>
    <row r="385">
      <c r="M385" s="107"/>
    </row>
    <row r="386">
      <c r="M386" s="107"/>
    </row>
    <row r="387">
      <c r="M387" s="107"/>
    </row>
    <row r="388">
      <c r="M388" s="107"/>
    </row>
    <row r="389">
      <c r="M389" s="107"/>
    </row>
    <row r="390">
      <c r="M390" s="107"/>
    </row>
    <row r="391">
      <c r="M391" s="107"/>
    </row>
    <row r="392">
      <c r="M392" s="107"/>
    </row>
    <row r="393">
      <c r="M393" s="107"/>
    </row>
    <row r="394">
      <c r="M394" s="107"/>
    </row>
    <row r="395">
      <c r="M395" s="107"/>
    </row>
    <row r="396">
      <c r="M396" s="107"/>
    </row>
    <row r="397">
      <c r="M397" s="107"/>
    </row>
    <row r="398">
      <c r="M398" s="107"/>
    </row>
    <row r="399">
      <c r="M399" s="107"/>
    </row>
    <row r="400">
      <c r="M400" s="107"/>
    </row>
    <row r="401">
      <c r="M401" s="107"/>
    </row>
    <row r="402">
      <c r="M402" s="107"/>
    </row>
    <row r="403">
      <c r="M403" s="107"/>
    </row>
    <row r="404">
      <c r="M404" s="107"/>
    </row>
    <row r="405">
      <c r="M405" s="107"/>
    </row>
    <row r="406">
      <c r="M406" s="107"/>
    </row>
    <row r="407">
      <c r="M407" s="107"/>
    </row>
    <row r="408">
      <c r="M408" s="107"/>
    </row>
    <row r="409">
      <c r="M409" s="107"/>
    </row>
    <row r="410">
      <c r="M410" s="107"/>
    </row>
    <row r="411">
      <c r="M411" s="107"/>
    </row>
    <row r="412">
      <c r="M412" s="107"/>
    </row>
    <row r="413">
      <c r="M413" s="107"/>
    </row>
    <row r="414">
      <c r="M414" s="107"/>
    </row>
    <row r="415">
      <c r="M415" s="107"/>
    </row>
    <row r="416">
      <c r="M416" s="107"/>
    </row>
    <row r="417">
      <c r="M417" s="107"/>
    </row>
    <row r="418">
      <c r="M418" s="107"/>
    </row>
    <row r="419">
      <c r="M419" s="107"/>
    </row>
    <row r="420">
      <c r="M420" s="107"/>
    </row>
    <row r="421">
      <c r="M421" s="107"/>
    </row>
    <row r="422">
      <c r="M422" s="107"/>
    </row>
    <row r="423">
      <c r="M423" s="107"/>
    </row>
    <row r="424">
      <c r="M424" s="107"/>
    </row>
    <row r="425">
      <c r="M425" s="107"/>
    </row>
    <row r="426">
      <c r="M426" s="107"/>
    </row>
    <row r="427">
      <c r="M427" s="107"/>
    </row>
    <row r="428">
      <c r="M428" s="107"/>
    </row>
    <row r="429">
      <c r="M429" s="107"/>
    </row>
    <row r="430">
      <c r="M430" s="107"/>
    </row>
    <row r="431">
      <c r="M431" s="107"/>
    </row>
    <row r="432">
      <c r="M432" s="107"/>
    </row>
    <row r="433">
      <c r="M433" s="107"/>
    </row>
    <row r="434">
      <c r="M434" s="107"/>
    </row>
    <row r="435">
      <c r="M435" s="107"/>
    </row>
    <row r="436">
      <c r="M436" s="107"/>
    </row>
    <row r="437">
      <c r="M437" s="107"/>
    </row>
    <row r="438">
      <c r="M438" s="107"/>
    </row>
    <row r="439">
      <c r="M439" s="107"/>
    </row>
    <row r="440">
      <c r="M440" s="107"/>
    </row>
    <row r="441">
      <c r="M441" s="107"/>
    </row>
    <row r="442">
      <c r="M442" s="107"/>
    </row>
    <row r="443">
      <c r="M443" s="107"/>
    </row>
    <row r="444">
      <c r="M444" s="107"/>
    </row>
    <row r="445">
      <c r="M445" s="107"/>
    </row>
    <row r="446">
      <c r="M446" s="107"/>
    </row>
    <row r="447">
      <c r="M447" s="107"/>
    </row>
    <row r="448">
      <c r="M448" s="107"/>
    </row>
    <row r="449">
      <c r="M449" s="107"/>
    </row>
    <row r="450">
      <c r="M450" s="107"/>
    </row>
    <row r="451">
      <c r="M451" s="107"/>
    </row>
    <row r="452">
      <c r="M452" s="107"/>
    </row>
    <row r="453">
      <c r="M453" s="107"/>
    </row>
    <row r="454">
      <c r="M454" s="107"/>
    </row>
    <row r="455">
      <c r="M455" s="107"/>
    </row>
    <row r="456">
      <c r="M456" s="107"/>
    </row>
    <row r="457">
      <c r="M457" s="107"/>
    </row>
    <row r="458">
      <c r="M458" s="107"/>
    </row>
    <row r="459">
      <c r="M459" s="107"/>
    </row>
    <row r="460">
      <c r="M460" s="107"/>
    </row>
    <row r="461">
      <c r="M461" s="107"/>
    </row>
    <row r="462">
      <c r="M462" s="107"/>
    </row>
    <row r="463">
      <c r="M463" s="107"/>
    </row>
    <row r="464">
      <c r="M464" s="107"/>
    </row>
    <row r="465">
      <c r="M465" s="107"/>
    </row>
    <row r="466">
      <c r="M466" s="107"/>
    </row>
    <row r="467">
      <c r="M467" s="107"/>
    </row>
    <row r="468">
      <c r="M468" s="107"/>
    </row>
    <row r="469">
      <c r="M469" s="107"/>
    </row>
    <row r="470">
      <c r="M470" s="107"/>
    </row>
    <row r="471">
      <c r="M471" s="107"/>
    </row>
    <row r="472">
      <c r="M472" s="107"/>
    </row>
    <row r="473">
      <c r="M473" s="107"/>
    </row>
    <row r="474">
      <c r="M474" s="107"/>
    </row>
    <row r="475">
      <c r="M475" s="107"/>
    </row>
    <row r="476">
      <c r="M476" s="107"/>
    </row>
    <row r="477">
      <c r="M477" s="107"/>
    </row>
    <row r="478">
      <c r="M478" s="107"/>
    </row>
    <row r="479">
      <c r="M479" s="107"/>
    </row>
    <row r="480">
      <c r="M480" s="107"/>
    </row>
    <row r="481">
      <c r="M481" s="107"/>
    </row>
    <row r="482">
      <c r="M482" s="107"/>
    </row>
    <row r="483">
      <c r="M483" s="107"/>
    </row>
    <row r="484">
      <c r="M484" s="107"/>
    </row>
    <row r="485">
      <c r="M485" s="107"/>
    </row>
    <row r="486">
      <c r="M486" s="107"/>
    </row>
    <row r="487">
      <c r="M487" s="107"/>
    </row>
    <row r="488">
      <c r="M488" s="107"/>
    </row>
    <row r="489">
      <c r="M489" s="107"/>
    </row>
    <row r="490">
      <c r="M490" s="107"/>
    </row>
    <row r="491">
      <c r="M491" s="107"/>
    </row>
    <row r="492">
      <c r="M492" s="107"/>
    </row>
    <row r="493">
      <c r="M493" s="107"/>
    </row>
    <row r="494">
      <c r="M494" s="107"/>
    </row>
    <row r="495">
      <c r="M495" s="107"/>
    </row>
    <row r="496">
      <c r="M496" s="107"/>
    </row>
    <row r="497">
      <c r="M497" s="107"/>
    </row>
    <row r="498">
      <c r="M498" s="107"/>
    </row>
    <row r="499">
      <c r="M499" s="107"/>
    </row>
    <row r="500">
      <c r="M500" s="107"/>
    </row>
    <row r="501">
      <c r="M501" s="107"/>
    </row>
    <row r="502">
      <c r="M502" s="107"/>
    </row>
    <row r="503">
      <c r="M503" s="107"/>
    </row>
    <row r="504">
      <c r="M504" s="107"/>
    </row>
    <row r="505">
      <c r="M505" s="107"/>
    </row>
    <row r="506">
      <c r="M506" s="107"/>
    </row>
    <row r="507">
      <c r="M507" s="107"/>
    </row>
    <row r="508">
      <c r="M508" s="107"/>
    </row>
    <row r="509">
      <c r="M509" s="107"/>
    </row>
    <row r="510">
      <c r="M510" s="107"/>
    </row>
    <row r="511">
      <c r="M511" s="107"/>
    </row>
    <row r="512">
      <c r="M512" s="107"/>
    </row>
    <row r="513">
      <c r="M513" s="107"/>
    </row>
    <row r="514">
      <c r="M514" s="107"/>
    </row>
    <row r="515">
      <c r="M515" s="107"/>
    </row>
    <row r="516">
      <c r="M516" s="107"/>
    </row>
    <row r="517">
      <c r="M517" s="107"/>
    </row>
    <row r="518">
      <c r="M518" s="107"/>
    </row>
    <row r="519">
      <c r="M519" s="107"/>
    </row>
    <row r="520">
      <c r="M520" s="107"/>
    </row>
    <row r="521">
      <c r="M521" s="107"/>
    </row>
    <row r="522">
      <c r="M522" s="107"/>
    </row>
    <row r="523">
      <c r="M523" s="107"/>
    </row>
    <row r="524">
      <c r="M524" s="107"/>
    </row>
    <row r="525">
      <c r="M525" s="107"/>
    </row>
    <row r="526">
      <c r="M526" s="107"/>
    </row>
    <row r="527">
      <c r="M527" s="107"/>
    </row>
    <row r="528">
      <c r="M528" s="107"/>
    </row>
    <row r="529">
      <c r="M529" s="107"/>
    </row>
    <row r="530">
      <c r="M530" s="107"/>
    </row>
    <row r="531">
      <c r="M531" s="107"/>
    </row>
    <row r="532">
      <c r="M532" s="107"/>
    </row>
    <row r="533">
      <c r="M533" s="107"/>
    </row>
    <row r="534">
      <c r="M534" s="107"/>
    </row>
    <row r="535">
      <c r="M535" s="107"/>
    </row>
    <row r="536">
      <c r="M536" s="107"/>
    </row>
    <row r="537">
      <c r="M537" s="107"/>
    </row>
    <row r="538">
      <c r="M538" s="107"/>
    </row>
    <row r="539">
      <c r="M539" s="107"/>
    </row>
    <row r="540">
      <c r="M540" s="107"/>
    </row>
    <row r="541">
      <c r="M541" s="107"/>
    </row>
    <row r="542">
      <c r="M542" s="107"/>
    </row>
    <row r="543">
      <c r="M543" s="107"/>
    </row>
    <row r="544">
      <c r="M544" s="107"/>
    </row>
    <row r="545">
      <c r="M545" s="107"/>
    </row>
    <row r="546">
      <c r="M546" s="107"/>
    </row>
    <row r="547">
      <c r="M547" s="107"/>
    </row>
    <row r="548">
      <c r="M548" s="107"/>
    </row>
    <row r="549">
      <c r="M549" s="107"/>
    </row>
    <row r="550">
      <c r="M550" s="107"/>
    </row>
    <row r="551">
      <c r="M551" s="107"/>
    </row>
    <row r="552">
      <c r="M552" s="107"/>
    </row>
    <row r="553">
      <c r="M553" s="107"/>
    </row>
    <row r="554">
      <c r="M554" s="107"/>
    </row>
    <row r="555">
      <c r="M555" s="107"/>
    </row>
    <row r="556">
      <c r="M556" s="107"/>
    </row>
    <row r="557">
      <c r="M557" s="107"/>
    </row>
    <row r="558">
      <c r="M558" s="107"/>
    </row>
    <row r="559">
      <c r="M559" s="107"/>
    </row>
    <row r="560">
      <c r="M560" s="107"/>
    </row>
    <row r="561">
      <c r="M561" s="107"/>
    </row>
    <row r="562">
      <c r="M562" s="107"/>
    </row>
    <row r="563">
      <c r="M563" s="107"/>
    </row>
    <row r="564">
      <c r="M564" s="107"/>
    </row>
    <row r="565">
      <c r="M565" s="107"/>
    </row>
    <row r="566">
      <c r="M566" s="107"/>
    </row>
    <row r="567">
      <c r="M567" s="107"/>
    </row>
    <row r="568">
      <c r="M568" s="107"/>
    </row>
    <row r="569">
      <c r="M569" s="107"/>
    </row>
    <row r="570">
      <c r="M570" s="107"/>
    </row>
    <row r="571">
      <c r="M571" s="107"/>
    </row>
    <row r="572">
      <c r="M572" s="107"/>
    </row>
    <row r="573">
      <c r="M573" s="107"/>
    </row>
    <row r="574">
      <c r="M574" s="107"/>
    </row>
    <row r="575">
      <c r="M575" s="107"/>
    </row>
    <row r="576">
      <c r="M576" s="107"/>
    </row>
    <row r="577">
      <c r="M577" s="107"/>
    </row>
    <row r="578">
      <c r="M578" s="107"/>
    </row>
    <row r="579">
      <c r="M579" s="107"/>
    </row>
    <row r="580">
      <c r="M580" s="107"/>
    </row>
    <row r="581">
      <c r="M581" s="107"/>
    </row>
    <row r="582">
      <c r="M582" s="107"/>
    </row>
    <row r="583">
      <c r="M583" s="107"/>
    </row>
    <row r="584">
      <c r="M584" s="107"/>
    </row>
    <row r="585">
      <c r="M585" s="107"/>
    </row>
    <row r="586">
      <c r="M586" s="107"/>
    </row>
    <row r="587">
      <c r="M587" s="107"/>
    </row>
    <row r="588">
      <c r="M588" s="107"/>
    </row>
    <row r="589">
      <c r="M589" s="107"/>
    </row>
    <row r="590">
      <c r="M590" s="107"/>
    </row>
    <row r="591">
      <c r="M591" s="107"/>
    </row>
    <row r="592">
      <c r="M592" s="107"/>
    </row>
    <row r="593">
      <c r="M593" s="107"/>
    </row>
    <row r="594">
      <c r="M594" s="107"/>
    </row>
    <row r="595">
      <c r="M595" s="107"/>
    </row>
    <row r="596">
      <c r="M596" s="107"/>
    </row>
    <row r="597">
      <c r="M597" s="107"/>
    </row>
    <row r="598">
      <c r="M598" s="107"/>
    </row>
    <row r="599">
      <c r="M599" s="107"/>
    </row>
    <row r="600">
      <c r="M600" s="107"/>
    </row>
    <row r="601">
      <c r="M601" s="107"/>
    </row>
    <row r="602">
      <c r="M602" s="107"/>
    </row>
    <row r="603">
      <c r="M603" s="107"/>
    </row>
    <row r="604">
      <c r="M604" s="107"/>
    </row>
    <row r="605">
      <c r="M605" s="107"/>
    </row>
    <row r="606">
      <c r="M606" s="107"/>
    </row>
    <row r="607">
      <c r="M607" s="107"/>
    </row>
    <row r="608">
      <c r="M608" s="107"/>
    </row>
    <row r="609">
      <c r="M609" s="107"/>
    </row>
    <row r="610">
      <c r="M610" s="107"/>
    </row>
    <row r="611">
      <c r="M611" s="107"/>
    </row>
    <row r="612">
      <c r="M612" s="107"/>
    </row>
    <row r="613">
      <c r="M613" s="107"/>
    </row>
    <row r="614">
      <c r="M614" s="107"/>
    </row>
    <row r="615">
      <c r="M615" s="107"/>
    </row>
    <row r="616">
      <c r="M616" s="107"/>
    </row>
    <row r="617">
      <c r="M617" s="107"/>
    </row>
    <row r="618">
      <c r="M618" s="107"/>
    </row>
    <row r="619">
      <c r="M619" s="107"/>
    </row>
    <row r="620">
      <c r="M620" s="107"/>
    </row>
    <row r="621">
      <c r="M621" s="107"/>
    </row>
    <row r="622">
      <c r="M622" s="107"/>
    </row>
    <row r="623">
      <c r="M623" s="107"/>
    </row>
    <row r="624">
      <c r="M624" s="107"/>
    </row>
    <row r="625">
      <c r="M625" s="107"/>
    </row>
    <row r="626">
      <c r="M626" s="107"/>
    </row>
    <row r="627">
      <c r="M627" s="107"/>
    </row>
    <row r="628">
      <c r="M628" s="107"/>
    </row>
    <row r="629">
      <c r="M629" s="107"/>
    </row>
    <row r="630">
      <c r="M630" s="107"/>
    </row>
    <row r="631">
      <c r="M631" s="107"/>
    </row>
    <row r="632">
      <c r="M632" s="107"/>
    </row>
    <row r="633">
      <c r="M633" s="107"/>
    </row>
    <row r="634">
      <c r="M634" s="107"/>
    </row>
    <row r="635">
      <c r="M635" s="107"/>
    </row>
    <row r="636">
      <c r="M636" s="107"/>
    </row>
    <row r="637">
      <c r="M637" s="107"/>
    </row>
    <row r="638">
      <c r="M638" s="107"/>
    </row>
    <row r="639">
      <c r="M639" s="107"/>
    </row>
    <row r="640">
      <c r="M640" s="107"/>
    </row>
    <row r="641">
      <c r="M641" s="107"/>
    </row>
    <row r="642">
      <c r="M642" s="107"/>
    </row>
    <row r="643">
      <c r="M643" s="107"/>
    </row>
    <row r="644">
      <c r="M644" s="107"/>
    </row>
    <row r="645">
      <c r="M645" s="107"/>
    </row>
    <row r="646">
      <c r="M646" s="107"/>
    </row>
    <row r="647">
      <c r="M647" s="107"/>
    </row>
    <row r="648">
      <c r="M648" s="107"/>
    </row>
    <row r="649">
      <c r="M649" s="107"/>
    </row>
    <row r="650">
      <c r="M650" s="107"/>
    </row>
    <row r="651">
      <c r="M651" s="107"/>
    </row>
    <row r="652">
      <c r="M652" s="107"/>
    </row>
    <row r="653">
      <c r="M653" s="107"/>
    </row>
    <row r="654">
      <c r="M654" s="107"/>
    </row>
    <row r="655">
      <c r="M655" s="107"/>
    </row>
    <row r="656">
      <c r="M656" s="107"/>
    </row>
    <row r="657">
      <c r="M657" s="107"/>
    </row>
    <row r="658">
      <c r="M658" s="107"/>
    </row>
    <row r="659">
      <c r="M659" s="107"/>
    </row>
    <row r="660">
      <c r="M660" s="107"/>
    </row>
    <row r="661">
      <c r="M661" s="107"/>
    </row>
    <row r="662">
      <c r="M662" s="107"/>
    </row>
    <row r="663">
      <c r="M663" s="107"/>
    </row>
    <row r="664">
      <c r="M664" s="107"/>
    </row>
    <row r="665">
      <c r="M665" s="107"/>
    </row>
    <row r="666">
      <c r="M666" s="107"/>
    </row>
    <row r="667">
      <c r="M667" s="107"/>
    </row>
    <row r="668">
      <c r="M668" s="107"/>
    </row>
    <row r="669">
      <c r="M669" s="107"/>
    </row>
    <row r="670">
      <c r="M670" s="107"/>
    </row>
    <row r="671">
      <c r="M671" s="107"/>
    </row>
    <row r="672">
      <c r="M672" s="107"/>
    </row>
    <row r="673">
      <c r="M673" s="107"/>
    </row>
    <row r="674">
      <c r="M674" s="107"/>
    </row>
    <row r="675">
      <c r="M675" s="107"/>
    </row>
    <row r="676">
      <c r="M676" s="107"/>
    </row>
    <row r="677">
      <c r="M677" s="107"/>
    </row>
    <row r="678">
      <c r="M678" s="107"/>
    </row>
    <row r="679">
      <c r="M679" s="107"/>
    </row>
    <row r="680">
      <c r="M680" s="107"/>
    </row>
    <row r="681">
      <c r="M681" s="107"/>
    </row>
    <row r="682">
      <c r="M682" s="107"/>
    </row>
    <row r="683">
      <c r="M683" s="107"/>
    </row>
    <row r="684">
      <c r="M684" s="107"/>
    </row>
    <row r="685">
      <c r="M685" s="107"/>
    </row>
    <row r="686">
      <c r="M686" s="107"/>
    </row>
    <row r="687">
      <c r="M687" s="107"/>
    </row>
    <row r="688">
      <c r="M688" s="107"/>
    </row>
    <row r="689">
      <c r="M689" s="107"/>
    </row>
    <row r="690">
      <c r="M690" s="107"/>
    </row>
    <row r="691">
      <c r="M691" s="107"/>
    </row>
    <row r="692">
      <c r="M692" s="107"/>
    </row>
    <row r="693">
      <c r="M693" s="107"/>
    </row>
    <row r="694">
      <c r="M694" s="107"/>
    </row>
    <row r="695">
      <c r="M695" s="107"/>
    </row>
    <row r="696">
      <c r="M696" s="107"/>
    </row>
    <row r="697">
      <c r="M697" s="107"/>
    </row>
    <row r="698">
      <c r="M698" s="107"/>
    </row>
    <row r="699">
      <c r="M699" s="107"/>
    </row>
    <row r="700">
      <c r="M700" s="107"/>
    </row>
    <row r="701">
      <c r="M701" s="107"/>
    </row>
    <row r="702">
      <c r="M702" s="107"/>
    </row>
    <row r="703">
      <c r="M703" s="107"/>
    </row>
    <row r="704">
      <c r="M704" s="107"/>
    </row>
    <row r="705">
      <c r="M705" s="107"/>
    </row>
    <row r="706">
      <c r="M706" s="107"/>
    </row>
    <row r="707">
      <c r="M707" s="107"/>
    </row>
    <row r="708">
      <c r="M708" s="107"/>
    </row>
    <row r="709">
      <c r="M709" s="107"/>
    </row>
    <row r="710">
      <c r="M710" s="107"/>
    </row>
    <row r="711">
      <c r="M711" s="107"/>
    </row>
    <row r="712">
      <c r="M712" s="107"/>
    </row>
    <row r="713">
      <c r="M713" s="107"/>
    </row>
    <row r="714">
      <c r="M714" s="107"/>
    </row>
    <row r="715">
      <c r="M715" s="107"/>
    </row>
    <row r="716">
      <c r="M716" s="107"/>
    </row>
    <row r="717">
      <c r="M717" s="107"/>
    </row>
    <row r="718">
      <c r="M718" s="107"/>
    </row>
    <row r="719">
      <c r="M719" s="107"/>
    </row>
    <row r="720">
      <c r="M720" s="107"/>
    </row>
    <row r="721">
      <c r="M721" s="107"/>
    </row>
    <row r="722">
      <c r="M722" s="107"/>
    </row>
    <row r="723">
      <c r="M723" s="107"/>
    </row>
    <row r="724">
      <c r="M724" s="107"/>
    </row>
    <row r="725">
      <c r="M725" s="107"/>
    </row>
    <row r="726">
      <c r="M726" s="107"/>
    </row>
    <row r="727">
      <c r="M727" s="107"/>
    </row>
    <row r="728">
      <c r="M728" s="107"/>
    </row>
    <row r="729">
      <c r="M729" s="107"/>
    </row>
    <row r="730">
      <c r="M730" s="107"/>
    </row>
    <row r="731">
      <c r="M731" s="107"/>
    </row>
    <row r="732">
      <c r="M732" s="107"/>
    </row>
    <row r="733">
      <c r="M733" s="107"/>
    </row>
    <row r="734">
      <c r="M734" s="107"/>
    </row>
    <row r="735">
      <c r="M735" s="107"/>
    </row>
    <row r="736">
      <c r="M736" s="107"/>
    </row>
    <row r="737">
      <c r="M737" s="107"/>
    </row>
    <row r="738">
      <c r="M738" s="107"/>
    </row>
    <row r="739">
      <c r="M739" s="107"/>
    </row>
    <row r="740">
      <c r="M740" s="107"/>
    </row>
    <row r="741">
      <c r="M741" s="107"/>
    </row>
    <row r="742">
      <c r="M742" s="107"/>
    </row>
    <row r="743">
      <c r="M743" s="107"/>
    </row>
    <row r="744">
      <c r="M744" s="107"/>
    </row>
    <row r="745">
      <c r="M745" s="107"/>
    </row>
    <row r="746">
      <c r="M746" s="107"/>
    </row>
    <row r="747">
      <c r="M747" s="107"/>
    </row>
    <row r="748">
      <c r="M748" s="107"/>
    </row>
    <row r="749">
      <c r="M749" s="107"/>
    </row>
    <row r="750">
      <c r="M750" s="107"/>
    </row>
    <row r="751">
      <c r="M751" s="107"/>
    </row>
    <row r="752">
      <c r="M752" s="107"/>
    </row>
    <row r="753">
      <c r="M753" s="107"/>
    </row>
    <row r="754">
      <c r="M754" s="107"/>
    </row>
    <row r="755">
      <c r="M755" s="107"/>
    </row>
    <row r="756">
      <c r="M756" s="107"/>
    </row>
    <row r="757">
      <c r="M757" s="107"/>
    </row>
    <row r="758">
      <c r="M758" s="107"/>
    </row>
    <row r="759">
      <c r="M759" s="107"/>
    </row>
    <row r="760">
      <c r="M760" s="107"/>
    </row>
    <row r="761">
      <c r="M761" s="107"/>
    </row>
    <row r="762">
      <c r="M762" s="107"/>
    </row>
    <row r="763">
      <c r="M763" s="107"/>
    </row>
    <row r="764">
      <c r="M764" s="107"/>
    </row>
    <row r="765">
      <c r="M765" s="107"/>
    </row>
    <row r="766">
      <c r="M766" s="107"/>
    </row>
    <row r="767">
      <c r="M767" s="107"/>
    </row>
    <row r="768">
      <c r="M768" s="107"/>
    </row>
    <row r="769">
      <c r="M769" s="107"/>
    </row>
    <row r="770">
      <c r="M770" s="107"/>
    </row>
    <row r="771">
      <c r="M771" s="107"/>
    </row>
    <row r="772">
      <c r="M772" s="107"/>
    </row>
    <row r="773">
      <c r="M773" s="107"/>
    </row>
    <row r="774">
      <c r="M774" s="107"/>
    </row>
    <row r="775">
      <c r="M775" s="107"/>
    </row>
    <row r="776">
      <c r="M776" s="107"/>
    </row>
    <row r="777">
      <c r="M777" s="107"/>
    </row>
    <row r="778">
      <c r="M778" s="107"/>
    </row>
    <row r="779">
      <c r="M779" s="107"/>
    </row>
    <row r="780">
      <c r="M780" s="107"/>
    </row>
    <row r="781">
      <c r="M781" s="107"/>
    </row>
    <row r="782">
      <c r="M782" s="107"/>
    </row>
    <row r="783">
      <c r="M783" s="107"/>
    </row>
    <row r="784">
      <c r="M784" s="107"/>
    </row>
    <row r="785">
      <c r="M785" s="107"/>
    </row>
    <row r="786">
      <c r="M786" s="107"/>
    </row>
    <row r="787">
      <c r="M787" s="107"/>
    </row>
    <row r="788">
      <c r="M788" s="107"/>
    </row>
    <row r="789">
      <c r="M789" s="107"/>
    </row>
    <row r="790">
      <c r="M790" s="107"/>
    </row>
    <row r="791">
      <c r="M791" s="107"/>
    </row>
    <row r="792">
      <c r="M792" s="107"/>
    </row>
    <row r="793">
      <c r="M793" s="107"/>
    </row>
    <row r="794">
      <c r="M794" s="107"/>
    </row>
    <row r="795">
      <c r="M795" s="107"/>
    </row>
    <row r="796">
      <c r="M796" s="107"/>
    </row>
    <row r="797">
      <c r="M797" s="107"/>
    </row>
    <row r="798">
      <c r="M798" s="107"/>
    </row>
    <row r="799">
      <c r="M799" s="107"/>
    </row>
    <row r="800">
      <c r="M800" s="107"/>
    </row>
    <row r="801">
      <c r="M801" s="107"/>
    </row>
    <row r="802">
      <c r="M802" s="107"/>
    </row>
    <row r="803">
      <c r="M803" s="107"/>
    </row>
    <row r="804">
      <c r="M804" s="107"/>
    </row>
    <row r="805">
      <c r="M805" s="107"/>
    </row>
    <row r="806">
      <c r="M806" s="107"/>
    </row>
    <row r="807">
      <c r="M807" s="107"/>
    </row>
    <row r="808">
      <c r="M808" s="107"/>
    </row>
    <row r="809">
      <c r="M809" s="107"/>
    </row>
    <row r="810">
      <c r="M810" s="107"/>
    </row>
    <row r="811">
      <c r="M811" s="107"/>
    </row>
    <row r="812">
      <c r="M812" s="107"/>
    </row>
    <row r="813">
      <c r="M813" s="107"/>
    </row>
    <row r="814">
      <c r="M814" s="107"/>
    </row>
    <row r="815">
      <c r="M815" s="107"/>
    </row>
    <row r="816">
      <c r="M816" s="107"/>
    </row>
    <row r="817">
      <c r="M817" s="107"/>
    </row>
    <row r="818">
      <c r="M818" s="107"/>
    </row>
    <row r="819">
      <c r="M819" s="107"/>
    </row>
    <row r="820">
      <c r="M820" s="107"/>
    </row>
    <row r="821">
      <c r="M821" s="107"/>
    </row>
    <row r="822">
      <c r="M822" s="107"/>
    </row>
    <row r="823">
      <c r="M823" s="107"/>
    </row>
    <row r="824">
      <c r="M824" s="107"/>
    </row>
    <row r="825">
      <c r="M825" s="107"/>
    </row>
    <row r="826">
      <c r="M826" s="107"/>
    </row>
    <row r="827">
      <c r="M827" s="107"/>
    </row>
    <row r="828">
      <c r="M828" s="107"/>
    </row>
    <row r="829">
      <c r="M829" s="107"/>
    </row>
    <row r="830">
      <c r="M830" s="107"/>
    </row>
    <row r="831">
      <c r="M831" s="107"/>
    </row>
    <row r="832">
      <c r="M832" s="107"/>
    </row>
    <row r="833">
      <c r="M833" s="107"/>
    </row>
    <row r="834">
      <c r="M834" s="107"/>
    </row>
    <row r="835">
      <c r="M835" s="107"/>
    </row>
    <row r="836">
      <c r="M836" s="107"/>
    </row>
    <row r="837">
      <c r="M837" s="107"/>
    </row>
    <row r="838">
      <c r="M838" s="107"/>
    </row>
    <row r="839">
      <c r="M839" s="107"/>
    </row>
    <row r="840">
      <c r="M840" s="107"/>
    </row>
    <row r="841">
      <c r="M841" s="107"/>
    </row>
    <row r="842">
      <c r="M842" s="107"/>
    </row>
    <row r="843">
      <c r="M843" s="107"/>
    </row>
    <row r="844">
      <c r="M844" s="107"/>
    </row>
    <row r="845">
      <c r="M845" s="107"/>
    </row>
    <row r="846">
      <c r="M846" s="107"/>
    </row>
    <row r="847">
      <c r="M847" s="107"/>
    </row>
    <row r="848">
      <c r="M848" s="107"/>
    </row>
    <row r="849">
      <c r="M849" s="107"/>
    </row>
    <row r="850">
      <c r="M850" s="107"/>
    </row>
    <row r="851">
      <c r="M851" s="107"/>
    </row>
    <row r="852">
      <c r="M852" s="107"/>
    </row>
    <row r="853">
      <c r="M853" s="107"/>
    </row>
    <row r="854">
      <c r="M854" s="107"/>
    </row>
    <row r="855">
      <c r="M855" s="107"/>
    </row>
    <row r="856">
      <c r="M856" s="107"/>
    </row>
    <row r="857">
      <c r="M857" s="107"/>
    </row>
    <row r="858">
      <c r="M858" s="107"/>
    </row>
    <row r="859">
      <c r="M859" s="107"/>
    </row>
    <row r="860">
      <c r="M860" s="107"/>
    </row>
    <row r="861">
      <c r="M861" s="107"/>
    </row>
    <row r="862">
      <c r="M862" s="107"/>
    </row>
    <row r="863">
      <c r="M863" s="107"/>
    </row>
    <row r="864">
      <c r="M864" s="107"/>
    </row>
    <row r="865">
      <c r="M865" s="107"/>
    </row>
    <row r="866">
      <c r="M866" s="107"/>
    </row>
    <row r="867">
      <c r="M867" s="107"/>
    </row>
    <row r="868">
      <c r="M868" s="107"/>
    </row>
    <row r="869">
      <c r="M869" s="107"/>
    </row>
    <row r="870">
      <c r="M870" s="107"/>
    </row>
    <row r="871">
      <c r="M871" s="107"/>
    </row>
    <row r="872">
      <c r="M872" s="107"/>
    </row>
    <row r="873">
      <c r="M873" s="107"/>
    </row>
    <row r="874">
      <c r="M874" s="107"/>
    </row>
    <row r="875">
      <c r="M875" s="107"/>
    </row>
    <row r="876">
      <c r="M876" s="107"/>
    </row>
    <row r="877">
      <c r="M877" s="107"/>
    </row>
    <row r="878">
      <c r="M878" s="107"/>
    </row>
    <row r="879">
      <c r="M879" s="107"/>
    </row>
    <row r="880">
      <c r="M880" s="107"/>
    </row>
    <row r="881">
      <c r="M881" s="107"/>
    </row>
    <row r="882">
      <c r="M882" s="107"/>
    </row>
    <row r="883">
      <c r="M883" s="107"/>
    </row>
    <row r="884">
      <c r="M884" s="107"/>
    </row>
    <row r="885">
      <c r="M885" s="107"/>
    </row>
    <row r="886">
      <c r="M886" s="107"/>
    </row>
    <row r="887">
      <c r="M887" s="107"/>
    </row>
    <row r="888">
      <c r="M888" s="107"/>
    </row>
    <row r="889">
      <c r="M889" s="107"/>
    </row>
    <row r="890">
      <c r="M890" s="107"/>
    </row>
    <row r="891">
      <c r="M891" s="107"/>
    </row>
    <row r="892">
      <c r="M892" s="107"/>
    </row>
    <row r="893">
      <c r="M893" s="107"/>
    </row>
    <row r="894">
      <c r="M894" s="107"/>
    </row>
    <row r="895">
      <c r="M895" s="107"/>
    </row>
    <row r="896">
      <c r="M896" s="107"/>
    </row>
    <row r="897">
      <c r="M897" s="107"/>
    </row>
    <row r="898">
      <c r="M898" s="107"/>
    </row>
    <row r="899">
      <c r="M899" s="107"/>
    </row>
    <row r="900">
      <c r="M900" s="107"/>
    </row>
    <row r="901">
      <c r="M901" s="107"/>
    </row>
    <row r="902">
      <c r="M902" s="107"/>
    </row>
    <row r="903">
      <c r="M903" s="107"/>
    </row>
    <row r="904">
      <c r="M904" s="107"/>
    </row>
    <row r="905">
      <c r="M905" s="107"/>
    </row>
    <row r="906">
      <c r="M906" s="107"/>
    </row>
    <row r="907">
      <c r="M907" s="107"/>
    </row>
    <row r="908">
      <c r="M908" s="107"/>
    </row>
    <row r="909">
      <c r="M909" s="107"/>
    </row>
    <row r="910">
      <c r="M910" s="107"/>
    </row>
    <row r="911">
      <c r="M911" s="107"/>
    </row>
    <row r="912">
      <c r="M912" s="107"/>
    </row>
    <row r="913">
      <c r="M913" s="107"/>
    </row>
    <row r="914">
      <c r="M914" s="107"/>
    </row>
    <row r="915">
      <c r="M915" s="107"/>
    </row>
    <row r="916">
      <c r="M916" s="107"/>
    </row>
    <row r="917">
      <c r="M917" s="107"/>
    </row>
    <row r="918">
      <c r="M918" s="107"/>
    </row>
    <row r="919">
      <c r="M919" s="107"/>
    </row>
    <row r="920">
      <c r="M920" s="107"/>
    </row>
    <row r="921">
      <c r="M921" s="107"/>
    </row>
    <row r="922">
      <c r="M922" s="107"/>
    </row>
    <row r="923">
      <c r="M923" s="107"/>
    </row>
    <row r="924">
      <c r="M924" s="107"/>
    </row>
    <row r="925">
      <c r="M925" s="107"/>
    </row>
    <row r="926">
      <c r="M926" s="107"/>
    </row>
    <row r="927">
      <c r="M927" s="107"/>
    </row>
    <row r="928">
      <c r="M928" s="107"/>
    </row>
    <row r="929">
      <c r="M929" s="107"/>
    </row>
    <row r="930">
      <c r="M930" s="107"/>
    </row>
    <row r="931">
      <c r="M931" s="107"/>
    </row>
    <row r="932">
      <c r="M932" s="107"/>
    </row>
    <row r="933">
      <c r="M933" s="107"/>
    </row>
    <row r="934">
      <c r="M934" s="107"/>
    </row>
    <row r="935">
      <c r="M935" s="107"/>
    </row>
    <row r="936">
      <c r="M936" s="107"/>
    </row>
    <row r="937">
      <c r="M937" s="107"/>
    </row>
    <row r="938">
      <c r="M938" s="107"/>
    </row>
    <row r="939">
      <c r="M939" s="107"/>
    </row>
    <row r="940">
      <c r="M940" s="107"/>
    </row>
    <row r="941">
      <c r="M941" s="107"/>
    </row>
    <row r="942">
      <c r="M942" s="107"/>
    </row>
    <row r="943">
      <c r="M943" s="107"/>
    </row>
    <row r="944">
      <c r="M944" s="107"/>
    </row>
    <row r="945">
      <c r="M945" s="107"/>
    </row>
    <row r="946">
      <c r="M946" s="107"/>
    </row>
    <row r="947">
      <c r="M947" s="107"/>
    </row>
    <row r="948">
      <c r="M948" s="107"/>
    </row>
    <row r="949">
      <c r="M949" s="107"/>
    </row>
    <row r="950">
      <c r="M950" s="107"/>
    </row>
    <row r="951">
      <c r="M951" s="107"/>
    </row>
    <row r="952">
      <c r="M952" s="107"/>
    </row>
    <row r="953">
      <c r="M953" s="107"/>
    </row>
    <row r="954">
      <c r="M954" s="107"/>
    </row>
    <row r="955">
      <c r="M955" s="107"/>
    </row>
    <row r="956">
      <c r="M956" s="107"/>
    </row>
    <row r="957">
      <c r="M957" s="107"/>
    </row>
    <row r="958">
      <c r="M958" s="107"/>
    </row>
    <row r="959">
      <c r="M959" s="107"/>
    </row>
    <row r="960">
      <c r="M960" s="107"/>
    </row>
    <row r="961">
      <c r="M961" s="107"/>
    </row>
    <row r="962">
      <c r="M962" s="107"/>
    </row>
    <row r="963">
      <c r="M963" s="107"/>
    </row>
    <row r="964">
      <c r="M964" s="107"/>
    </row>
    <row r="965">
      <c r="M965" s="107"/>
    </row>
    <row r="966">
      <c r="M966" s="107"/>
    </row>
    <row r="967">
      <c r="M967" s="107"/>
    </row>
    <row r="968">
      <c r="M968" s="107"/>
    </row>
    <row r="969">
      <c r="M969" s="107"/>
    </row>
    <row r="970">
      <c r="M970" s="107"/>
    </row>
    <row r="971">
      <c r="M971" s="107"/>
    </row>
    <row r="972">
      <c r="M972" s="107"/>
    </row>
    <row r="973">
      <c r="M973" s="107"/>
    </row>
    <row r="974">
      <c r="M974" s="107"/>
    </row>
    <row r="975">
      <c r="M975" s="107"/>
    </row>
    <row r="976">
      <c r="M976" s="107"/>
    </row>
    <row r="977">
      <c r="M977" s="107"/>
    </row>
    <row r="978">
      <c r="M978" s="107"/>
    </row>
    <row r="979">
      <c r="M979" s="107"/>
    </row>
    <row r="980">
      <c r="M980" s="107"/>
    </row>
    <row r="981">
      <c r="M981" s="107"/>
    </row>
    <row r="982">
      <c r="M982" s="107"/>
    </row>
    <row r="983">
      <c r="M983" s="107"/>
    </row>
    <row r="984">
      <c r="M984" s="107"/>
    </row>
    <row r="985">
      <c r="M985" s="107"/>
    </row>
    <row r="986">
      <c r="M986" s="107"/>
    </row>
    <row r="987">
      <c r="M987" s="107"/>
    </row>
    <row r="988">
      <c r="M988" s="107"/>
    </row>
    <row r="989">
      <c r="M989" s="107"/>
    </row>
    <row r="990">
      <c r="M990" s="107"/>
    </row>
    <row r="991">
      <c r="M991" s="107"/>
    </row>
    <row r="992">
      <c r="M992" s="107"/>
    </row>
    <row r="993">
      <c r="M993" s="107"/>
    </row>
    <row r="994">
      <c r="M994" s="107"/>
    </row>
    <row r="995">
      <c r="M995" s="107"/>
    </row>
    <row r="996">
      <c r="M996" s="107"/>
    </row>
    <row r="997">
      <c r="M997" s="107"/>
    </row>
    <row r="998">
      <c r="M998" s="107"/>
    </row>
    <row r="999">
      <c r="M999" s="107"/>
    </row>
    <row r="1000">
      <c r="M1000" s="107"/>
    </row>
  </sheetData>
  <mergeCells count="2">
    <mergeCell ref="A1:S1"/>
    <mergeCell ref="A2:S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10" max="10" width="17.88"/>
  </cols>
  <sheetData>
    <row r="1">
      <c r="A1" s="84" t="s">
        <v>431</v>
      </c>
    </row>
    <row r="2">
      <c r="A2" s="97" t="s">
        <v>432</v>
      </c>
    </row>
    <row r="3">
      <c r="A3" s="86" t="s">
        <v>7</v>
      </c>
      <c r="B3" s="86" t="s">
        <v>8</v>
      </c>
      <c r="C3" s="86" t="s">
        <v>9</v>
      </c>
      <c r="D3" s="86" t="s">
        <v>415</v>
      </c>
      <c r="E3" s="86" t="s">
        <v>435</v>
      </c>
      <c r="F3" s="87" t="s">
        <v>18</v>
      </c>
      <c r="G3" s="86" t="s">
        <v>438</v>
      </c>
      <c r="H3" s="86" t="s">
        <v>390</v>
      </c>
      <c r="I3" s="86" t="s">
        <v>439</v>
      </c>
      <c r="J3" s="86" t="s">
        <v>440</v>
      </c>
      <c r="K3" s="86" t="s">
        <v>381</v>
      </c>
      <c r="L3" s="86" t="s">
        <v>372</v>
      </c>
      <c r="M3" s="86" t="s">
        <v>20</v>
      </c>
      <c r="N3" s="86" t="s">
        <v>378</v>
      </c>
      <c r="O3" s="86" t="s">
        <v>22</v>
      </c>
      <c r="P3" s="86" t="s">
        <v>25</v>
      </c>
      <c r="Q3" s="86" t="s">
        <v>16</v>
      </c>
      <c r="R3" s="86" t="s">
        <v>441</v>
      </c>
    </row>
    <row r="4">
      <c r="A4" s="89">
        <v>1.0</v>
      </c>
      <c r="B4" s="90" t="s">
        <v>59</v>
      </c>
      <c r="C4" s="90" t="s">
        <v>61</v>
      </c>
      <c r="D4" s="91">
        <v>15.04</v>
      </c>
      <c r="E4" s="91">
        <f t="shared" ref="E4:E120" si="1">MAX(0, 100 - (D4 * 5))</f>
        <v>24.8</v>
      </c>
      <c r="F4" s="92">
        <f>'2022 Assembly'!O4</f>
        <v>3.61</v>
      </c>
      <c r="G4" s="91">
        <f t="shared" ref="G4:G120" si="2">MAX(0, 100 - (F4 * 5))</f>
        <v>81.95</v>
      </c>
      <c r="H4" s="93" t="s">
        <v>45</v>
      </c>
      <c r="I4" s="93" t="s">
        <v>45</v>
      </c>
      <c r="J4" s="98"/>
      <c r="K4" s="91">
        <f t="shared" ref="K4:K120" si="3">IF(ISBLANK(J4),0,IF(ISNUMBER(SEARCH("retained",J4)),30,100))</f>
        <v>0</v>
      </c>
      <c r="L4" s="89">
        <f t="shared" ref="L4:L120" si="4">MIN(100,ABS(F4-D4)*4)</f>
        <v>45.72</v>
      </c>
      <c r="M4" s="93" t="s">
        <v>53</v>
      </c>
      <c r="N4" s="91">
        <f t="shared" ref="N4:N120" si="5">IF(M4&lt;&gt;I4,100,0)</f>
        <v>100</v>
      </c>
      <c r="O4" s="89">
        <f t="shared" ref="O4:O120" si="6">0.45*G4+0.2*E4+0.15*K4+0.1*L4+0.1*N4</f>
        <v>56.4095</v>
      </c>
      <c r="P4" s="90" t="str">
        <f t="shared" ref="P4:P120" si="7">IF(O4&gt;=70,"Very High",IF(O4&gt;=55,"High",IF(O4&gt;=40,"Medium","Low")))</f>
        <v>High</v>
      </c>
      <c r="Q4" s="93" t="s">
        <v>53</v>
      </c>
      <c r="R4" s="100" t="str">
        <f t="shared" ref="R4:R120" si="8">IF(AND(D4&lt;=5,F4&lt;=5),"YES","")</f>
        <v/>
      </c>
    </row>
    <row r="5">
      <c r="A5" s="89">
        <v>2.0</v>
      </c>
      <c r="B5" s="90" t="s">
        <v>216</v>
      </c>
      <c r="C5" s="90" t="s">
        <v>61</v>
      </c>
      <c r="D5" s="91">
        <v>21.05</v>
      </c>
      <c r="E5" s="91">
        <f t="shared" si="1"/>
        <v>0</v>
      </c>
      <c r="F5" s="92">
        <v>0.88</v>
      </c>
      <c r="G5" s="91">
        <f t="shared" si="2"/>
        <v>95.6</v>
      </c>
      <c r="H5" s="93" t="s">
        <v>32</v>
      </c>
      <c r="I5" s="93" t="s">
        <v>32</v>
      </c>
      <c r="J5" s="98"/>
      <c r="K5" s="91">
        <f t="shared" si="3"/>
        <v>0</v>
      </c>
      <c r="L5" s="89">
        <f t="shared" si="4"/>
        <v>80.68</v>
      </c>
      <c r="M5" s="93" t="s">
        <v>53</v>
      </c>
      <c r="N5" s="91">
        <f t="shared" si="5"/>
        <v>100</v>
      </c>
      <c r="O5" s="89">
        <f t="shared" si="6"/>
        <v>61.088</v>
      </c>
      <c r="P5" s="90" t="str">
        <f t="shared" si="7"/>
        <v>High</v>
      </c>
      <c r="Q5" s="93" t="s">
        <v>45</v>
      </c>
      <c r="R5" s="100" t="str">
        <f t="shared" si="8"/>
        <v/>
      </c>
    </row>
    <row r="6">
      <c r="A6" s="89">
        <v>3.0</v>
      </c>
      <c r="B6" s="90" t="s">
        <v>60</v>
      </c>
      <c r="C6" s="90" t="s">
        <v>61</v>
      </c>
      <c r="D6" s="91">
        <v>10.16</v>
      </c>
      <c r="E6" s="91">
        <f t="shared" si="1"/>
        <v>49.2</v>
      </c>
      <c r="F6" s="92">
        <v>6.88</v>
      </c>
      <c r="G6" s="91">
        <f t="shared" si="2"/>
        <v>65.6</v>
      </c>
      <c r="H6" s="93" t="s">
        <v>53</v>
      </c>
      <c r="I6" s="93" t="s">
        <v>53</v>
      </c>
      <c r="J6" s="98"/>
      <c r="K6" s="91">
        <f t="shared" si="3"/>
        <v>0</v>
      </c>
      <c r="L6" s="89">
        <f t="shared" si="4"/>
        <v>13.12</v>
      </c>
      <c r="M6" s="93" t="s">
        <v>53</v>
      </c>
      <c r="N6" s="91">
        <f t="shared" si="5"/>
        <v>0</v>
      </c>
      <c r="O6" s="89">
        <f t="shared" si="6"/>
        <v>40.672</v>
      </c>
      <c r="P6" s="90" t="str">
        <f t="shared" si="7"/>
        <v>Medium</v>
      </c>
      <c r="Q6" s="93" t="s">
        <v>45</v>
      </c>
      <c r="R6" s="100" t="str">
        <f t="shared" si="8"/>
        <v/>
      </c>
    </row>
    <row r="7">
      <c r="A7" s="89">
        <v>4.0</v>
      </c>
      <c r="B7" s="90" t="s">
        <v>244</v>
      </c>
      <c r="C7" s="90" t="s">
        <v>61</v>
      </c>
      <c r="D7" s="91">
        <v>24.79</v>
      </c>
      <c r="E7" s="91">
        <f t="shared" si="1"/>
        <v>0</v>
      </c>
      <c r="F7" s="92">
        <v>5.94</v>
      </c>
      <c r="G7" s="91">
        <f t="shared" si="2"/>
        <v>70.3</v>
      </c>
      <c r="H7" s="93" t="s">
        <v>45</v>
      </c>
      <c r="I7" s="93" t="s">
        <v>45</v>
      </c>
      <c r="J7" s="98"/>
      <c r="K7" s="91">
        <f t="shared" si="3"/>
        <v>0</v>
      </c>
      <c r="L7" s="89">
        <f t="shared" si="4"/>
        <v>75.4</v>
      </c>
      <c r="M7" s="93" t="s">
        <v>45</v>
      </c>
      <c r="N7" s="91">
        <f t="shared" si="5"/>
        <v>0</v>
      </c>
      <c r="O7" s="89">
        <f t="shared" si="6"/>
        <v>39.175</v>
      </c>
      <c r="P7" s="90" t="str">
        <f t="shared" si="7"/>
        <v>Low</v>
      </c>
      <c r="Q7" s="93" t="s">
        <v>51</v>
      </c>
      <c r="R7" s="100" t="str">
        <f t="shared" si="8"/>
        <v/>
      </c>
    </row>
    <row r="8">
      <c r="A8" s="89">
        <v>5.0</v>
      </c>
      <c r="B8" s="90" t="s">
        <v>249</v>
      </c>
      <c r="C8" s="90" t="s">
        <v>61</v>
      </c>
      <c r="D8" s="91">
        <v>24.69</v>
      </c>
      <c r="E8" s="91">
        <f t="shared" si="1"/>
        <v>0</v>
      </c>
      <c r="F8" s="92">
        <v>0.81</v>
      </c>
      <c r="G8" s="91">
        <f t="shared" si="2"/>
        <v>95.95</v>
      </c>
      <c r="H8" s="93" t="s">
        <v>45</v>
      </c>
      <c r="I8" s="93" t="s">
        <v>45</v>
      </c>
      <c r="J8" s="98"/>
      <c r="K8" s="91">
        <f t="shared" si="3"/>
        <v>0</v>
      </c>
      <c r="L8" s="89">
        <f t="shared" si="4"/>
        <v>95.52</v>
      </c>
      <c r="M8" s="93" t="s">
        <v>45</v>
      </c>
      <c r="N8" s="91">
        <f t="shared" si="5"/>
        <v>0</v>
      </c>
      <c r="O8" s="89">
        <f t="shared" si="6"/>
        <v>52.7295</v>
      </c>
      <c r="P8" s="90" t="str">
        <f t="shared" si="7"/>
        <v>Medium</v>
      </c>
      <c r="Q8" s="93" t="s">
        <v>32</v>
      </c>
      <c r="R8" s="100" t="str">
        <f t="shared" si="8"/>
        <v/>
      </c>
    </row>
    <row r="9">
      <c r="A9" s="89">
        <v>6.0</v>
      </c>
      <c r="B9" s="90" t="s">
        <v>253</v>
      </c>
      <c r="C9" s="90" t="s">
        <v>61</v>
      </c>
      <c r="D9" s="91">
        <v>8.97</v>
      </c>
      <c r="E9" s="91">
        <f t="shared" si="1"/>
        <v>55.15</v>
      </c>
      <c r="F9" s="92">
        <v>5.42</v>
      </c>
      <c r="G9" s="91">
        <f t="shared" si="2"/>
        <v>72.9</v>
      </c>
      <c r="H9" s="93" t="s">
        <v>45</v>
      </c>
      <c r="I9" s="93" t="s">
        <v>45</v>
      </c>
      <c r="J9" s="98"/>
      <c r="K9" s="91">
        <f t="shared" si="3"/>
        <v>0</v>
      </c>
      <c r="L9" s="89">
        <f t="shared" si="4"/>
        <v>14.2</v>
      </c>
      <c r="M9" s="93" t="s">
        <v>45</v>
      </c>
      <c r="N9" s="91">
        <f t="shared" si="5"/>
        <v>0</v>
      </c>
      <c r="O9" s="89">
        <f t="shared" si="6"/>
        <v>45.255</v>
      </c>
      <c r="P9" s="90" t="str">
        <f t="shared" si="7"/>
        <v>Medium</v>
      </c>
      <c r="Q9" s="93" t="s">
        <v>51</v>
      </c>
      <c r="R9" s="100" t="str">
        <f t="shared" si="8"/>
        <v/>
      </c>
    </row>
    <row r="10">
      <c r="A10" s="89">
        <v>7.0</v>
      </c>
      <c r="B10" s="90" t="s">
        <v>256</v>
      </c>
      <c r="C10" s="90" t="s">
        <v>61</v>
      </c>
      <c r="D10" s="91">
        <v>0.4</v>
      </c>
      <c r="E10" s="91">
        <f t="shared" si="1"/>
        <v>98</v>
      </c>
      <c r="F10" s="92">
        <v>22.44</v>
      </c>
      <c r="G10" s="91">
        <f t="shared" si="2"/>
        <v>0</v>
      </c>
      <c r="H10" s="93" t="s">
        <v>32</v>
      </c>
      <c r="I10" s="93" t="s">
        <v>32</v>
      </c>
      <c r="J10" s="98"/>
      <c r="K10" s="91">
        <f t="shared" si="3"/>
        <v>0</v>
      </c>
      <c r="L10" s="89">
        <f t="shared" si="4"/>
        <v>88.16</v>
      </c>
      <c r="M10" s="93" t="s">
        <v>45</v>
      </c>
      <c r="N10" s="91">
        <f t="shared" si="5"/>
        <v>100</v>
      </c>
      <c r="O10" s="89">
        <f t="shared" si="6"/>
        <v>38.416</v>
      </c>
      <c r="P10" s="90" t="str">
        <f t="shared" si="7"/>
        <v>Low</v>
      </c>
      <c r="Q10" s="93" t="s">
        <v>45</v>
      </c>
      <c r="R10" s="100" t="str">
        <f t="shared" si="8"/>
        <v/>
      </c>
    </row>
    <row r="11">
      <c r="A11" s="89">
        <v>8.0</v>
      </c>
      <c r="B11" s="90" t="s">
        <v>260</v>
      </c>
      <c r="C11" s="90" t="s">
        <v>61</v>
      </c>
      <c r="D11" s="91">
        <v>14.6</v>
      </c>
      <c r="E11" s="91">
        <f t="shared" si="1"/>
        <v>27</v>
      </c>
      <c r="F11" s="92">
        <v>13.78</v>
      </c>
      <c r="G11" s="91">
        <f t="shared" si="2"/>
        <v>31.1</v>
      </c>
      <c r="H11" s="93" t="s">
        <v>32</v>
      </c>
      <c r="I11" s="93" t="s">
        <v>32</v>
      </c>
      <c r="J11" s="98"/>
      <c r="K11" s="91">
        <f t="shared" si="3"/>
        <v>0</v>
      </c>
      <c r="L11" s="89">
        <f t="shared" si="4"/>
        <v>3.28</v>
      </c>
      <c r="M11" s="93" t="s">
        <v>45</v>
      </c>
      <c r="N11" s="91">
        <f t="shared" si="5"/>
        <v>100</v>
      </c>
      <c r="O11" s="89">
        <f t="shared" si="6"/>
        <v>29.723</v>
      </c>
      <c r="P11" s="90" t="str">
        <f t="shared" si="7"/>
        <v>Low</v>
      </c>
      <c r="Q11" s="93" t="s">
        <v>51</v>
      </c>
      <c r="R11" s="100" t="str">
        <f t="shared" si="8"/>
        <v/>
      </c>
    </row>
    <row r="12">
      <c r="A12" s="89">
        <v>9.0</v>
      </c>
      <c r="B12" s="90" t="s">
        <v>263</v>
      </c>
      <c r="C12" s="90" t="s">
        <v>61</v>
      </c>
      <c r="D12" s="91">
        <v>1.62</v>
      </c>
      <c r="E12" s="91">
        <f t="shared" si="1"/>
        <v>91.9</v>
      </c>
      <c r="F12" s="92">
        <v>4.33</v>
      </c>
      <c r="G12" s="91">
        <f t="shared" si="2"/>
        <v>78.35</v>
      </c>
      <c r="H12" s="93" t="s">
        <v>45</v>
      </c>
      <c r="I12" s="93" t="s">
        <v>45</v>
      </c>
      <c r="J12" s="98"/>
      <c r="K12" s="91">
        <f t="shared" si="3"/>
        <v>0</v>
      </c>
      <c r="L12" s="89">
        <f t="shared" si="4"/>
        <v>10.84</v>
      </c>
      <c r="M12" s="93" t="s">
        <v>45</v>
      </c>
      <c r="N12" s="91">
        <f t="shared" si="5"/>
        <v>0</v>
      </c>
      <c r="O12" s="89">
        <f t="shared" si="6"/>
        <v>54.7215</v>
      </c>
      <c r="P12" s="90" t="str">
        <f t="shared" si="7"/>
        <v>Medium</v>
      </c>
      <c r="Q12" s="93" t="s">
        <v>51</v>
      </c>
      <c r="R12" s="90" t="str">
        <f t="shared" si="8"/>
        <v>YES</v>
      </c>
    </row>
    <row r="13">
      <c r="A13" s="89">
        <v>10.0</v>
      </c>
      <c r="B13" s="90" t="s">
        <v>252</v>
      </c>
      <c r="C13" s="90" t="s">
        <v>61</v>
      </c>
      <c r="D13" s="91">
        <v>0.85</v>
      </c>
      <c r="E13" s="91">
        <f t="shared" si="1"/>
        <v>95.75</v>
      </c>
      <c r="F13" s="92">
        <v>0.33</v>
      </c>
      <c r="G13" s="91">
        <f t="shared" si="2"/>
        <v>98.35</v>
      </c>
      <c r="H13" s="93" t="s">
        <v>32</v>
      </c>
      <c r="I13" s="93" t="s">
        <v>45</v>
      </c>
      <c r="J13" s="101" t="s">
        <v>269</v>
      </c>
      <c r="K13" s="91">
        <f t="shared" si="3"/>
        <v>100</v>
      </c>
      <c r="L13" s="89">
        <f t="shared" si="4"/>
        <v>2.08</v>
      </c>
      <c r="M13" s="93" t="s">
        <v>45</v>
      </c>
      <c r="N13" s="91">
        <f t="shared" si="5"/>
        <v>0</v>
      </c>
      <c r="O13" s="89">
        <f t="shared" si="6"/>
        <v>78.6155</v>
      </c>
      <c r="P13" s="90" t="str">
        <f t="shared" si="7"/>
        <v>Very High</v>
      </c>
      <c r="Q13" s="93" t="s">
        <v>51</v>
      </c>
      <c r="R13" s="90" t="str">
        <f t="shared" si="8"/>
        <v>YES</v>
      </c>
    </row>
    <row r="14">
      <c r="A14" s="89">
        <v>11.0</v>
      </c>
      <c r="B14" s="90" t="s">
        <v>271</v>
      </c>
      <c r="C14" s="90" t="s">
        <v>61</v>
      </c>
      <c r="D14" s="91">
        <v>15.48</v>
      </c>
      <c r="E14" s="91">
        <f t="shared" si="1"/>
        <v>22.6</v>
      </c>
      <c r="F14" s="92">
        <v>6.47</v>
      </c>
      <c r="G14" s="91">
        <f t="shared" si="2"/>
        <v>67.65</v>
      </c>
      <c r="H14" s="93" t="s">
        <v>32</v>
      </c>
      <c r="I14" s="93" t="s">
        <v>32</v>
      </c>
      <c r="J14" s="98"/>
      <c r="K14" s="91">
        <f t="shared" si="3"/>
        <v>0</v>
      </c>
      <c r="L14" s="89">
        <f t="shared" si="4"/>
        <v>36.04</v>
      </c>
      <c r="M14" s="93" t="s">
        <v>32</v>
      </c>
      <c r="N14" s="91">
        <f t="shared" si="5"/>
        <v>0</v>
      </c>
      <c r="O14" s="89">
        <f t="shared" si="6"/>
        <v>38.5665</v>
      </c>
      <c r="P14" s="90" t="str">
        <f t="shared" si="7"/>
        <v>Low</v>
      </c>
      <c r="Q14" s="93" t="s">
        <v>51</v>
      </c>
      <c r="R14" s="100" t="str">
        <f t="shared" si="8"/>
        <v/>
      </c>
    </row>
    <row r="15">
      <c r="A15" s="89">
        <v>12.0</v>
      </c>
      <c r="B15" s="90" t="s">
        <v>276</v>
      </c>
      <c r="C15" s="90" t="s">
        <v>61</v>
      </c>
      <c r="D15" s="91">
        <v>4.37</v>
      </c>
      <c r="E15" s="91">
        <f t="shared" si="1"/>
        <v>78.15</v>
      </c>
      <c r="F15" s="92">
        <v>4.14</v>
      </c>
      <c r="G15" s="91">
        <f t="shared" si="2"/>
        <v>79.3</v>
      </c>
      <c r="H15" s="93" t="s">
        <v>45</v>
      </c>
      <c r="I15" s="93" t="s">
        <v>45</v>
      </c>
      <c r="J15" s="98"/>
      <c r="K15" s="91">
        <f t="shared" si="3"/>
        <v>0</v>
      </c>
      <c r="L15" s="89">
        <f t="shared" si="4"/>
        <v>0.92</v>
      </c>
      <c r="M15" s="93" t="s">
        <v>45</v>
      </c>
      <c r="N15" s="91">
        <f t="shared" si="5"/>
        <v>0</v>
      </c>
      <c r="O15" s="89">
        <f t="shared" si="6"/>
        <v>51.407</v>
      </c>
      <c r="P15" s="90" t="str">
        <f t="shared" si="7"/>
        <v>Medium</v>
      </c>
      <c r="Q15" s="93" t="s">
        <v>51</v>
      </c>
      <c r="R15" s="90" t="str">
        <f t="shared" si="8"/>
        <v>YES</v>
      </c>
    </row>
    <row r="16">
      <c r="A16" s="89">
        <v>13.0</v>
      </c>
      <c r="B16" s="90" t="s">
        <v>279</v>
      </c>
      <c r="C16" s="90" t="s">
        <v>61</v>
      </c>
      <c r="D16" s="91">
        <v>18.81</v>
      </c>
      <c r="E16" s="91">
        <f t="shared" si="1"/>
        <v>5.95</v>
      </c>
      <c r="F16" s="92">
        <v>21.48</v>
      </c>
      <c r="G16" s="91">
        <f t="shared" si="2"/>
        <v>0</v>
      </c>
      <c r="H16" s="93" t="s">
        <v>51</v>
      </c>
      <c r="I16" s="93" t="s">
        <v>51</v>
      </c>
      <c r="J16" s="98"/>
      <c r="K16" s="91">
        <f t="shared" si="3"/>
        <v>0</v>
      </c>
      <c r="L16" s="89">
        <f t="shared" si="4"/>
        <v>10.68</v>
      </c>
      <c r="M16" s="93" t="s">
        <v>51</v>
      </c>
      <c r="N16" s="91">
        <f t="shared" si="5"/>
        <v>0</v>
      </c>
      <c r="O16" s="89">
        <f t="shared" si="6"/>
        <v>2.258</v>
      </c>
      <c r="P16" s="90" t="str">
        <f t="shared" si="7"/>
        <v>Low</v>
      </c>
      <c r="Q16" s="93" t="s">
        <v>32</v>
      </c>
      <c r="R16" s="100" t="str">
        <f t="shared" si="8"/>
        <v/>
      </c>
    </row>
    <row r="17">
      <c r="A17" s="89">
        <v>14.0</v>
      </c>
      <c r="B17" s="90" t="s">
        <v>282</v>
      </c>
      <c r="C17" s="90" t="s">
        <v>61</v>
      </c>
      <c r="D17" s="91">
        <v>14.76</v>
      </c>
      <c r="E17" s="91">
        <f t="shared" si="1"/>
        <v>26.2</v>
      </c>
      <c r="F17" s="92">
        <v>19.87</v>
      </c>
      <c r="G17" s="91">
        <f t="shared" si="2"/>
        <v>0.65</v>
      </c>
      <c r="H17" s="93" t="s">
        <v>32</v>
      </c>
      <c r="I17" s="93" t="s">
        <v>32</v>
      </c>
      <c r="J17" s="98"/>
      <c r="K17" s="91">
        <f t="shared" si="3"/>
        <v>0</v>
      </c>
      <c r="L17" s="89">
        <f t="shared" si="4"/>
        <v>20.44</v>
      </c>
      <c r="M17" s="93" t="s">
        <v>287</v>
      </c>
      <c r="N17" s="91">
        <f t="shared" si="5"/>
        <v>100</v>
      </c>
      <c r="O17" s="89">
        <f t="shared" si="6"/>
        <v>17.5765</v>
      </c>
      <c r="P17" s="90" t="str">
        <f t="shared" si="7"/>
        <v>Low</v>
      </c>
      <c r="Q17" s="93" t="s">
        <v>45</v>
      </c>
      <c r="R17" s="100" t="str">
        <f t="shared" si="8"/>
        <v/>
      </c>
    </row>
    <row r="18">
      <c r="A18" s="89">
        <v>15.0</v>
      </c>
      <c r="B18" s="90" t="s">
        <v>300</v>
      </c>
      <c r="C18" s="90" t="s">
        <v>61</v>
      </c>
      <c r="D18" s="91">
        <v>12.16</v>
      </c>
      <c r="E18" s="91">
        <f t="shared" si="1"/>
        <v>39.2</v>
      </c>
      <c r="F18" s="92">
        <v>23.03</v>
      </c>
      <c r="G18" s="91">
        <f t="shared" si="2"/>
        <v>0</v>
      </c>
      <c r="H18" s="93" t="s">
        <v>32</v>
      </c>
      <c r="I18" s="93" t="s">
        <v>32</v>
      </c>
      <c r="J18" s="98"/>
      <c r="K18" s="91">
        <f t="shared" si="3"/>
        <v>0</v>
      </c>
      <c r="L18" s="89">
        <f t="shared" si="4"/>
        <v>43.48</v>
      </c>
      <c r="M18" s="93" t="s">
        <v>53</v>
      </c>
      <c r="N18" s="91">
        <f t="shared" si="5"/>
        <v>100</v>
      </c>
      <c r="O18" s="89">
        <f t="shared" si="6"/>
        <v>22.188</v>
      </c>
      <c r="P18" s="90" t="str">
        <f t="shared" si="7"/>
        <v>Low</v>
      </c>
      <c r="Q18" s="93" t="s">
        <v>51</v>
      </c>
      <c r="R18" s="100" t="str">
        <f t="shared" si="8"/>
        <v/>
      </c>
    </row>
    <row r="19">
      <c r="A19" s="89">
        <v>16.0</v>
      </c>
      <c r="B19" s="90" t="s">
        <v>314</v>
      </c>
      <c r="C19" s="90" t="s">
        <v>61</v>
      </c>
      <c r="D19" s="91">
        <v>25.15</v>
      </c>
      <c r="E19" s="91">
        <f t="shared" si="1"/>
        <v>0</v>
      </c>
      <c r="F19" s="92">
        <v>37.33</v>
      </c>
      <c r="G19" s="91">
        <f t="shared" si="2"/>
        <v>0</v>
      </c>
      <c r="H19" s="93" t="s">
        <v>32</v>
      </c>
      <c r="I19" s="93" t="s">
        <v>32</v>
      </c>
      <c r="J19" s="98"/>
      <c r="K19" s="91">
        <f t="shared" si="3"/>
        <v>0</v>
      </c>
      <c r="L19" s="89">
        <f t="shared" si="4"/>
        <v>48.72</v>
      </c>
      <c r="M19" s="93" t="s">
        <v>45</v>
      </c>
      <c r="N19" s="91">
        <f t="shared" si="5"/>
        <v>100</v>
      </c>
      <c r="O19" s="89">
        <f t="shared" si="6"/>
        <v>14.872</v>
      </c>
      <c r="P19" s="90" t="str">
        <f t="shared" si="7"/>
        <v>Low</v>
      </c>
      <c r="Q19" s="93" t="s">
        <v>45</v>
      </c>
      <c r="R19" s="100" t="str">
        <f t="shared" si="8"/>
        <v/>
      </c>
    </row>
    <row r="20">
      <c r="A20" s="89">
        <v>17.0</v>
      </c>
      <c r="B20" s="90" t="s">
        <v>332</v>
      </c>
      <c r="C20" s="90" t="s">
        <v>61</v>
      </c>
      <c r="D20" s="91">
        <v>23.52</v>
      </c>
      <c r="E20" s="91">
        <f t="shared" si="1"/>
        <v>0</v>
      </c>
      <c r="F20" s="92">
        <v>16.21</v>
      </c>
      <c r="G20" s="91">
        <f t="shared" si="2"/>
        <v>18.95</v>
      </c>
      <c r="H20" s="93" t="s">
        <v>32</v>
      </c>
      <c r="I20" s="93" t="s">
        <v>32</v>
      </c>
      <c r="J20" s="98"/>
      <c r="K20" s="91">
        <f t="shared" si="3"/>
        <v>0</v>
      </c>
      <c r="L20" s="89">
        <f t="shared" si="4"/>
        <v>29.24</v>
      </c>
      <c r="M20" s="93" t="s">
        <v>53</v>
      </c>
      <c r="N20" s="91">
        <f t="shared" si="5"/>
        <v>100</v>
      </c>
      <c r="O20" s="89">
        <f t="shared" si="6"/>
        <v>21.4515</v>
      </c>
      <c r="P20" s="90" t="str">
        <f t="shared" si="7"/>
        <v>Low</v>
      </c>
      <c r="Q20" s="93" t="s">
        <v>45</v>
      </c>
      <c r="R20" s="100" t="str">
        <f t="shared" si="8"/>
        <v/>
      </c>
    </row>
    <row r="21">
      <c r="A21" s="89">
        <v>18.0</v>
      </c>
      <c r="B21" s="90" t="s">
        <v>262</v>
      </c>
      <c r="C21" s="90" t="s">
        <v>61</v>
      </c>
      <c r="D21" s="91">
        <v>43.19</v>
      </c>
      <c r="E21" s="91">
        <f t="shared" si="1"/>
        <v>0</v>
      </c>
      <c r="F21" s="92">
        <v>6.29</v>
      </c>
      <c r="G21" s="91">
        <f t="shared" si="2"/>
        <v>68.55</v>
      </c>
      <c r="H21" s="93" t="s">
        <v>32</v>
      </c>
      <c r="I21" s="93" t="s">
        <v>32</v>
      </c>
      <c r="J21" s="98"/>
      <c r="K21" s="91">
        <f t="shared" si="3"/>
        <v>0</v>
      </c>
      <c r="L21" s="89">
        <f t="shared" si="4"/>
        <v>100</v>
      </c>
      <c r="M21" s="93" t="s">
        <v>53</v>
      </c>
      <c r="N21" s="91">
        <f t="shared" si="5"/>
        <v>100</v>
      </c>
      <c r="O21" s="89">
        <f t="shared" si="6"/>
        <v>50.8475</v>
      </c>
      <c r="P21" s="90" t="str">
        <f t="shared" si="7"/>
        <v>Medium</v>
      </c>
      <c r="Q21" s="93" t="s">
        <v>45</v>
      </c>
      <c r="R21" s="100" t="str">
        <f t="shared" si="8"/>
        <v/>
      </c>
    </row>
    <row r="22">
      <c r="A22" s="89">
        <v>19.0</v>
      </c>
      <c r="B22" s="90" t="s">
        <v>396</v>
      </c>
      <c r="C22" s="90" t="s">
        <v>61</v>
      </c>
      <c r="D22" s="91">
        <v>24.46</v>
      </c>
      <c r="E22" s="91">
        <f t="shared" si="1"/>
        <v>0</v>
      </c>
      <c r="F22" s="92">
        <v>26.13</v>
      </c>
      <c r="G22" s="91">
        <f t="shared" si="2"/>
        <v>0</v>
      </c>
      <c r="H22" s="93" t="s">
        <v>32</v>
      </c>
      <c r="I22" s="93" t="s">
        <v>32</v>
      </c>
      <c r="J22" s="98"/>
      <c r="K22" s="91">
        <f t="shared" si="3"/>
        <v>0</v>
      </c>
      <c r="L22" s="89">
        <f t="shared" si="4"/>
        <v>6.68</v>
      </c>
      <c r="M22" s="93" t="s">
        <v>32</v>
      </c>
      <c r="N22" s="91">
        <f t="shared" si="5"/>
        <v>0</v>
      </c>
      <c r="O22" s="89">
        <f t="shared" si="6"/>
        <v>0.668</v>
      </c>
      <c r="P22" s="90" t="str">
        <f t="shared" si="7"/>
        <v>Low</v>
      </c>
      <c r="Q22" s="93" t="s">
        <v>51</v>
      </c>
      <c r="R22" s="100" t="str">
        <f t="shared" si="8"/>
        <v/>
      </c>
    </row>
    <row r="23">
      <c r="A23" s="89">
        <v>20.0</v>
      </c>
      <c r="B23" s="90" t="s">
        <v>398</v>
      </c>
      <c r="C23" s="90" t="s">
        <v>61</v>
      </c>
      <c r="D23" s="91">
        <v>7.9</v>
      </c>
      <c r="E23" s="91">
        <f t="shared" si="1"/>
        <v>60.5</v>
      </c>
      <c r="F23" s="92">
        <v>15.61</v>
      </c>
      <c r="G23" s="91">
        <f t="shared" si="2"/>
        <v>21.95</v>
      </c>
      <c r="H23" s="93" t="s">
        <v>32</v>
      </c>
      <c r="I23" s="93" t="s">
        <v>32</v>
      </c>
      <c r="J23" s="98"/>
      <c r="K23" s="91">
        <f t="shared" si="3"/>
        <v>0</v>
      </c>
      <c r="L23" s="89">
        <f t="shared" si="4"/>
        <v>30.84</v>
      </c>
      <c r="M23" s="93" t="s">
        <v>45</v>
      </c>
      <c r="N23" s="91">
        <f t="shared" si="5"/>
        <v>100</v>
      </c>
      <c r="O23" s="89">
        <f t="shared" si="6"/>
        <v>35.0615</v>
      </c>
      <c r="P23" s="90" t="str">
        <f t="shared" si="7"/>
        <v>Low</v>
      </c>
      <c r="Q23" s="93" t="s">
        <v>51</v>
      </c>
      <c r="R23" s="100" t="str">
        <f t="shared" si="8"/>
        <v/>
      </c>
    </row>
    <row r="24">
      <c r="A24" s="89">
        <v>21.0</v>
      </c>
      <c r="B24" s="90" t="s">
        <v>400</v>
      </c>
      <c r="C24" s="90" t="s">
        <v>61</v>
      </c>
      <c r="D24" s="91">
        <v>11.1</v>
      </c>
      <c r="E24" s="91">
        <f t="shared" si="1"/>
        <v>44.5</v>
      </c>
      <c r="F24" s="92">
        <v>10.48</v>
      </c>
      <c r="G24" s="91">
        <f t="shared" si="2"/>
        <v>47.6</v>
      </c>
      <c r="H24" s="93" t="s">
        <v>32</v>
      </c>
      <c r="I24" s="93" t="s">
        <v>32</v>
      </c>
      <c r="J24" s="101" t="s">
        <v>450</v>
      </c>
      <c r="K24" s="91">
        <f t="shared" si="3"/>
        <v>30</v>
      </c>
      <c r="L24" s="89">
        <f t="shared" si="4"/>
        <v>2.48</v>
      </c>
      <c r="M24" s="93" t="s">
        <v>287</v>
      </c>
      <c r="N24" s="91">
        <f t="shared" si="5"/>
        <v>100</v>
      </c>
      <c r="O24" s="89">
        <f t="shared" si="6"/>
        <v>45.068</v>
      </c>
      <c r="P24" s="90" t="str">
        <f t="shared" si="7"/>
        <v>Medium</v>
      </c>
      <c r="Q24" s="93" t="s">
        <v>51</v>
      </c>
      <c r="R24" s="100" t="str">
        <f t="shared" si="8"/>
        <v/>
      </c>
    </row>
    <row r="25">
      <c r="A25" s="89">
        <v>22.0</v>
      </c>
      <c r="B25" s="90" t="s">
        <v>402</v>
      </c>
      <c r="C25" s="90" t="s">
        <v>61</v>
      </c>
      <c r="D25" s="91">
        <v>12.81</v>
      </c>
      <c r="E25" s="91">
        <f t="shared" si="1"/>
        <v>35.95</v>
      </c>
      <c r="F25" s="92">
        <v>7.76</v>
      </c>
      <c r="G25" s="91">
        <f t="shared" si="2"/>
        <v>61.2</v>
      </c>
      <c r="H25" s="93" t="s">
        <v>32</v>
      </c>
      <c r="I25" s="93" t="s">
        <v>32</v>
      </c>
      <c r="J25" s="98"/>
      <c r="K25" s="91">
        <f t="shared" si="3"/>
        <v>0</v>
      </c>
      <c r="L25" s="89">
        <f t="shared" si="4"/>
        <v>20.2</v>
      </c>
      <c r="M25" s="93" t="s">
        <v>287</v>
      </c>
      <c r="N25" s="91">
        <f t="shared" si="5"/>
        <v>100</v>
      </c>
      <c r="O25" s="89">
        <f t="shared" si="6"/>
        <v>46.75</v>
      </c>
      <c r="P25" s="90" t="str">
        <f t="shared" si="7"/>
        <v>Medium</v>
      </c>
      <c r="Q25" s="93" t="s">
        <v>51</v>
      </c>
      <c r="R25" s="100" t="str">
        <f t="shared" si="8"/>
        <v/>
      </c>
    </row>
    <row r="26">
      <c r="A26" s="89">
        <v>23.0</v>
      </c>
      <c r="B26" s="90" t="s">
        <v>404</v>
      </c>
      <c r="C26" s="90" t="s">
        <v>61</v>
      </c>
      <c r="D26" s="91">
        <v>5.86</v>
      </c>
      <c r="E26" s="91">
        <f t="shared" si="1"/>
        <v>70.7</v>
      </c>
      <c r="F26" s="92">
        <v>7.65</v>
      </c>
      <c r="G26" s="91">
        <f t="shared" si="2"/>
        <v>61.75</v>
      </c>
      <c r="H26" s="93" t="s">
        <v>32</v>
      </c>
      <c r="I26" s="93" t="s">
        <v>32</v>
      </c>
      <c r="J26" s="98"/>
      <c r="K26" s="91">
        <f t="shared" si="3"/>
        <v>0</v>
      </c>
      <c r="L26" s="89">
        <f t="shared" si="4"/>
        <v>7.16</v>
      </c>
      <c r="M26" s="93" t="s">
        <v>287</v>
      </c>
      <c r="N26" s="91">
        <f t="shared" si="5"/>
        <v>100</v>
      </c>
      <c r="O26" s="89">
        <f t="shared" si="6"/>
        <v>52.6435</v>
      </c>
      <c r="P26" s="90" t="str">
        <f t="shared" si="7"/>
        <v>Medium</v>
      </c>
      <c r="Q26" s="93" t="s">
        <v>51</v>
      </c>
      <c r="R26" s="100" t="str">
        <f t="shared" si="8"/>
        <v/>
      </c>
    </row>
    <row r="27">
      <c r="A27" s="89">
        <v>24.0</v>
      </c>
      <c r="B27" s="90" t="s">
        <v>406</v>
      </c>
      <c r="C27" s="90" t="s">
        <v>61</v>
      </c>
      <c r="D27" s="91">
        <v>11.72</v>
      </c>
      <c r="E27" s="91">
        <f t="shared" si="1"/>
        <v>41.4</v>
      </c>
      <c r="F27" s="92">
        <v>11.44</v>
      </c>
      <c r="G27" s="91">
        <f t="shared" si="2"/>
        <v>42.8</v>
      </c>
      <c r="H27" s="93" t="s">
        <v>32</v>
      </c>
      <c r="I27" s="93" t="s">
        <v>32</v>
      </c>
      <c r="J27" s="98"/>
      <c r="K27" s="91">
        <f t="shared" si="3"/>
        <v>0</v>
      </c>
      <c r="L27" s="89">
        <f t="shared" si="4"/>
        <v>1.12</v>
      </c>
      <c r="M27" s="93" t="s">
        <v>287</v>
      </c>
      <c r="N27" s="91">
        <f t="shared" si="5"/>
        <v>100</v>
      </c>
      <c r="O27" s="89">
        <f t="shared" si="6"/>
        <v>37.652</v>
      </c>
      <c r="P27" s="90" t="str">
        <f t="shared" si="7"/>
        <v>Low</v>
      </c>
      <c r="Q27" s="93" t="s">
        <v>45</v>
      </c>
      <c r="R27" s="100" t="str">
        <f t="shared" si="8"/>
        <v/>
      </c>
    </row>
    <row r="28">
      <c r="A28" s="89">
        <v>25.0</v>
      </c>
      <c r="B28" s="90" t="s">
        <v>408</v>
      </c>
      <c r="C28" s="90" t="s">
        <v>61</v>
      </c>
      <c r="D28" s="91">
        <v>5.08</v>
      </c>
      <c r="E28" s="91">
        <f t="shared" si="1"/>
        <v>74.6</v>
      </c>
      <c r="F28" s="92">
        <v>15.0</v>
      </c>
      <c r="G28" s="91">
        <f t="shared" si="2"/>
        <v>25</v>
      </c>
      <c r="H28" s="93" t="s">
        <v>32</v>
      </c>
      <c r="I28" s="93" t="s">
        <v>32</v>
      </c>
      <c r="J28" s="98"/>
      <c r="K28" s="91">
        <f t="shared" si="3"/>
        <v>0</v>
      </c>
      <c r="L28" s="89">
        <f t="shared" si="4"/>
        <v>39.68</v>
      </c>
      <c r="M28" s="93" t="s">
        <v>287</v>
      </c>
      <c r="N28" s="91">
        <f t="shared" si="5"/>
        <v>100</v>
      </c>
      <c r="O28" s="89">
        <f t="shared" si="6"/>
        <v>40.138</v>
      </c>
      <c r="P28" s="90" t="str">
        <f t="shared" si="7"/>
        <v>Medium</v>
      </c>
      <c r="Q28" s="93" t="s">
        <v>45</v>
      </c>
      <c r="R28" s="100" t="str">
        <f t="shared" si="8"/>
        <v/>
      </c>
    </row>
    <row r="29">
      <c r="A29" s="89">
        <v>26.0</v>
      </c>
      <c r="B29" s="90" t="s">
        <v>410</v>
      </c>
      <c r="C29" s="90" t="s">
        <v>127</v>
      </c>
      <c r="D29" s="91">
        <v>8.41</v>
      </c>
      <c r="E29" s="91">
        <f t="shared" si="1"/>
        <v>57.95</v>
      </c>
      <c r="F29" s="92">
        <v>10.27</v>
      </c>
      <c r="G29" s="91">
        <f t="shared" si="2"/>
        <v>48.65</v>
      </c>
      <c r="H29" s="93" t="s">
        <v>45</v>
      </c>
      <c r="I29" s="93" t="s">
        <v>45</v>
      </c>
      <c r="J29" s="98"/>
      <c r="K29" s="91">
        <f t="shared" si="3"/>
        <v>0</v>
      </c>
      <c r="L29" s="89">
        <f t="shared" si="4"/>
        <v>7.44</v>
      </c>
      <c r="M29" s="93" t="s">
        <v>32</v>
      </c>
      <c r="N29" s="91">
        <f t="shared" si="5"/>
        <v>100</v>
      </c>
      <c r="O29" s="89">
        <f t="shared" si="6"/>
        <v>44.2265</v>
      </c>
      <c r="P29" s="90" t="str">
        <f t="shared" si="7"/>
        <v>Medium</v>
      </c>
      <c r="Q29" s="93" t="s">
        <v>51</v>
      </c>
      <c r="R29" s="100" t="str">
        <f t="shared" si="8"/>
        <v/>
      </c>
    </row>
    <row r="30">
      <c r="A30" s="89">
        <v>27.0</v>
      </c>
      <c r="B30" s="90" t="s">
        <v>411</v>
      </c>
      <c r="C30" s="90" t="s">
        <v>127</v>
      </c>
      <c r="D30" s="91">
        <v>27.47</v>
      </c>
      <c r="E30" s="91">
        <f t="shared" si="1"/>
        <v>0</v>
      </c>
      <c r="F30" s="92">
        <v>7.16</v>
      </c>
      <c r="G30" s="91">
        <f t="shared" si="2"/>
        <v>64.2</v>
      </c>
      <c r="H30" s="93" t="s">
        <v>45</v>
      </c>
      <c r="I30" s="93" t="s">
        <v>45</v>
      </c>
      <c r="J30" s="98"/>
      <c r="K30" s="91">
        <f t="shared" si="3"/>
        <v>0</v>
      </c>
      <c r="L30" s="89">
        <f t="shared" si="4"/>
        <v>81.24</v>
      </c>
      <c r="M30" s="93" t="s">
        <v>45</v>
      </c>
      <c r="N30" s="91">
        <f t="shared" si="5"/>
        <v>0</v>
      </c>
      <c r="O30" s="89">
        <f t="shared" si="6"/>
        <v>37.014</v>
      </c>
      <c r="P30" s="90" t="str">
        <f t="shared" si="7"/>
        <v>Low</v>
      </c>
      <c r="Q30" s="93" t="s">
        <v>32</v>
      </c>
      <c r="R30" s="100" t="str">
        <f t="shared" si="8"/>
        <v/>
      </c>
    </row>
    <row r="31">
      <c r="A31" s="89">
        <v>28.0</v>
      </c>
      <c r="B31" s="90" t="s">
        <v>426</v>
      </c>
      <c r="C31" s="90" t="s">
        <v>127</v>
      </c>
      <c r="D31" s="91">
        <v>7.57</v>
      </c>
      <c r="E31" s="91">
        <f t="shared" si="1"/>
        <v>62.15</v>
      </c>
      <c r="F31" s="92">
        <v>10.65</v>
      </c>
      <c r="G31" s="91">
        <f t="shared" si="2"/>
        <v>46.75</v>
      </c>
      <c r="H31" s="93" t="s">
        <v>287</v>
      </c>
      <c r="I31" s="93" t="s">
        <v>287</v>
      </c>
      <c r="J31" s="98"/>
      <c r="K31" s="91">
        <f t="shared" si="3"/>
        <v>0</v>
      </c>
      <c r="L31" s="89">
        <f t="shared" si="4"/>
        <v>12.32</v>
      </c>
      <c r="M31" s="93" t="s">
        <v>287</v>
      </c>
      <c r="N31" s="91">
        <f t="shared" si="5"/>
        <v>0</v>
      </c>
      <c r="O31" s="89">
        <f t="shared" si="6"/>
        <v>34.6995</v>
      </c>
      <c r="P31" s="90" t="str">
        <f t="shared" si="7"/>
        <v>Low</v>
      </c>
      <c r="Q31" s="93" t="s">
        <v>32</v>
      </c>
      <c r="R31" s="100" t="str">
        <f t="shared" si="8"/>
        <v/>
      </c>
    </row>
    <row r="32">
      <c r="A32" s="89">
        <v>29.0</v>
      </c>
      <c r="B32" s="90" t="s">
        <v>248</v>
      </c>
      <c r="C32" s="90" t="s">
        <v>127</v>
      </c>
      <c r="D32" s="91">
        <v>1.56</v>
      </c>
      <c r="E32" s="91">
        <f t="shared" si="1"/>
        <v>92.2</v>
      </c>
      <c r="F32" s="92">
        <v>2.14</v>
      </c>
      <c r="G32" s="91">
        <f t="shared" si="2"/>
        <v>89.3</v>
      </c>
      <c r="H32" s="93" t="s">
        <v>45</v>
      </c>
      <c r="I32" s="93" t="s">
        <v>45</v>
      </c>
      <c r="J32" s="98"/>
      <c r="K32" s="91">
        <f t="shared" si="3"/>
        <v>0</v>
      </c>
      <c r="L32" s="89">
        <f t="shared" si="4"/>
        <v>2.32</v>
      </c>
      <c r="M32" s="93" t="s">
        <v>32</v>
      </c>
      <c r="N32" s="91">
        <f t="shared" si="5"/>
        <v>100</v>
      </c>
      <c r="O32" s="89">
        <f t="shared" si="6"/>
        <v>68.857</v>
      </c>
      <c r="P32" s="90" t="str">
        <f t="shared" si="7"/>
        <v>High</v>
      </c>
      <c r="Q32" s="93" t="s">
        <v>32</v>
      </c>
      <c r="R32" s="90" t="str">
        <f t="shared" si="8"/>
        <v>YES</v>
      </c>
    </row>
    <row r="33">
      <c r="A33" s="89">
        <v>30.0</v>
      </c>
      <c r="B33" s="90" t="s">
        <v>433</v>
      </c>
      <c r="C33" s="90" t="s">
        <v>127</v>
      </c>
      <c r="D33" s="91">
        <v>2.38</v>
      </c>
      <c r="E33" s="91">
        <f t="shared" si="1"/>
        <v>88.1</v>
      </c>
      <c r="F33" s="92">
        <v>8.85</v>
      </c>
      <c r="G33" s="91">
        <f t="shared" si="2"/>
        <v>55.75</v>
      </c>
      <c r="H33" s="93" t="s">
        <v>45</v>
      </c>
      <c r="I33" s="93" t="s">
        <v>45</v>
      </c>
      <c r="J33" s="98"/>
      <c r="K33" s="91">
        <f t="shared" si="3"/>
        <v>0</v>
      </c>
      <c r="L33" s="89">
        <f t="shared" si="4"/>
        <v>25.88</v>
      </c>
      <c r="M33" s="93" t="s">
        <v>45</v>
      </c>
      <c r="N33" s="91">
        <f t="shared" si="5"/>
        <v>0</v>
      </c>
      <c r="O33" s="89">
        <f t="shared" si="6"/>
        <v>45.2955</v>
      </c>
      <c r="P33" s="90" t="str">
        <f t="shared" si="7"/>
        <v>Medium</v>
      </c>
      <c r="Q33" s="93" t="s">
        <v>51</v>
      </c>
      <c r="R33" s="100" t="str">
        <f t="shared" si="8"/>
        <v/>
      </c>
    </row>
    <row r="34">
      <c r="A34" s="89">
        <v>31.0</v>
      </c>
      <c r="B34" s="90" t="s">
        <v>235</v>
      </c>
      <c r="C34" s="90" t="s">
        <v>127</v>
      </c>
      <c r="D34" s="91">
        <v>12.94</v>
      </c>
      <c r="E34" s="91">
        <f t="shared" si="1"/>
        <v>35.3</v>
      </c>
      <c r="F34" s="92">
        <v>2.16</v>
      </c>
      <c r="G34" s="91">
        <f t="shared" si="2"/>
        <v>89.2</v>
      </c>
      <c r="H34" s="93" t="s">
        <v>32</v>
      </c>
      <c r="I34" s="93" t="s">
        <v>32</v>
      </c>
      <c r="J34" s="98"/>
      <c r="K34" s="91">
        <f t="shared" si="3"/>
        <v>0</v>
      </c>
      <c r="L34" s="89">
        <f t="shared" si="4"/>
        <v>43.12</v>
      </c>
      <c r="M34" s="93" t="s">
        <v>45</v>
      </c>
      <c r="N34" s="91">
        <f t="shared" si="5"/>
        <v>100</v>
      </c>
      <c r="O34" s="89">
        <f t="shared" si="6"/>
        <v>61.512</v>
      </c>
      <c r="P34" s="90" t="str">
        <f t="shared" si="7"/>
        <v>High</v>
      </c>
      <c r="Q34" s="93" t="s">
        <v>51</v>
      </c>
      <c r="R34" s="100" t="str">
        <f t="shared" si="8"/>
        <v/>
      </c>
    </row>
    <row r="35">
      <c r="A35" s="89">
        <v>32.0</v>
      </c>
      <c r="B35" s="90" t="s">
        <v>444</v>
      </c>
      <c r="C35" s="90" t="s">
        <v>127</v>
      </c>
      <c r="D35" s="91">
        <v>3.65</v>
      </c>
      <c r="E35" s="91">
        <f t="shared" si="1"/>
        <v>81.75</v>
      </c>
      <c r="F35" s="92">
        <v>9.18</v>
      </c>
      <c r="G35" s="91">
        <f t="shared" si="2"/>
        <v>54.1</v>
      </c>
      <c r="H35" s="93" t="s">
        <v>45</v>
      </c>
      <c r="I35" s="93" t="s">
        <v>45</v>
      </c>
      <c r="J35" s="98"/>
      <c r="K35" s="91">
        <f t="shared" si="3"/>
        <v>0</v>
      </c>
      <c r="L35" s="89">
        <f t="shared" si="4"/>
        <v>22.12</v>
      </c>
      <c r="M35" s="93" t="s">
        <v>45</v>
      </c>
      <c r="N35" s="91">
        <f t="shared" si="5"/>
        <v>0</v>
      </c>
      <c r="O35" s="89">
        <f t="shared" si="6"/>
        <v>42.907</v>
      </c>
      <c r="P35" s="90" t="str">
        <f t="shared" si="7"/>
        <v>Medium</v>
      </c>
      <c r="Q35" s="93" t="s">
        <v>51</v>
      </c>
      <c r="R35" s="100" t="str">
        <f t="shared" si="8"/>
        <v/>
      </c>
    </row>
    <row r="36">
      <c r="A36" s="89">
        <v>33.0</v>
      </c>
      <c r="B36" s="90" t="s">
        <v>267</v>
      </c>
      <c r="C36" s="90" t="s">
        <v>127</v>
      </c>
      <c r="D36" s="91">
        <v>4.81</v>
      </c>
      <c r="E36" s="91">
        <f t="shared" si="1"/>
        <v>75.95</v>
      </c>
      <c r="F36" s="92">
        <v>3.69</v>
      </c>
      <c r="G36" s="91">
        <f t="shared" si="2"/>
        <v>81.55</v>
      </c>
      <c r="H36" s="93" t="s">
        <v>32</v>
      </c>
      <c r="I36" s="93" t="s">
        <v>32</v>
      </c>
      <c r="J36" s="98"/>
      <c r="K36" s="91">
        <f t="shared" si="3"/>
        <v>0</v>
      </c>
      <c r="L36" s="89">
        <f t="shared" si="4"/>
        <v>4.48</v>
      </c>
      <c r="M36" s="93" t="s">
        <v>45</v>
      </c>
      <c r="N36" s="91">
        <f t="shared" si="5"/>
        <v>100</v>
      </c>
      <c r="O36" s="89">
        <f t="shared" si="6"/>
        <v>62.3355</v>
      </c>
      <c r="P36" s="90" t="str">
        <f t="shared" si="7"/>
        <v>High</v>
      </c>
      <c r="Q36" s="93" t="s">
        <v>45</v>
      </c>
      <c r="R36" s="90" t="str">
        <f t="shared" si="8"/>
        <v>YES</v>
      </c>
    </row>
    <row r="37">
      <c r="A37" s="89">
        <v>34.0</v>
      </c>
      <c r="B37" s="90" t="s">
        <v>274</v>
      </c>
      <c r="C37" s="90" t="s">
        <v>127</v>
      </c>
      <c r="D37" s="91">
        <v>15.84</v>
      </c>
      <c r="E37" s="91">
        <f t="shared" si="1"/>
        <v>20.8</v>
      </c>
      <c r="F37" s="92">
        <v>3.69</v>
      </c>
      <c r="G37" s="91">
        <f t="shared" si="2"/>
        <v>81.55</v>
      </c>
      <c r="H37" s="93" t="s">
        <v>32</v>
      </c>
      <c r="I37" s="93" t="s">
        <v>32</v>
      </c>
      <c r="J37" s="98"/>
      <c r="K37" s="91">
        <f t="shared" si="3"/>
        <v>0</v>
      </c>
      <c r="L37" s="89">
        <f t="shared" si="4"/>
        <v>48.6</v>
      </c>
      <c r="M37" s="93" t="s">
        <v>45</v>
      </c>
      <c r="N37" s="91">
        <f t="shared" si="5"/>
        <v>100</v>
      </c>
      <c r="O37" s="89">
        <f t="shared" si="6"/>
        <v>55.7175</v>
      </c>
      <c r="P37" s="90" t="str">
        <f t="shared" si="7"/>
        <v>High</v>
      </c>
      <c r="Q37" s="93" t="s">
        <v>45</v>
      </c>
      <c r="R37" s="100" t="str">
        <f t="shared" si="8"/>
        <v/>
      </c>
    </row>
    <row r="38">
      <c r="A38" s="89">
        <v>35.0</v>
      </c>
      <c r="B38" s="90" t="s">
        <v>215</v>
      </c>
      <c r="C38" s="90" t="s">
        <v>127</v>
      </c>
      <c r="D38" s="91">
        <v>22.87</v>
      </c>
      <c r="E38" s="91">
        <f t="shared" si="1"/>
        <v>0</v>
      </c>
      <c r="F38" s="92">
        <v>0.23</v>
      </c>
      <c r="G38" s="91">
        <f t="shared" si="2"/>
        <v>98.85</v>
      </c>
      <c r="H38" s="93" t="s">
        <v>32</v>
      </c>
      <c r="I38" s="93" t="s">
        <v>32</v>
      </c>
      <c r="J38" s="98"/>
      <c r="K38" s="91">
        <f t="shared" si="3"/>
        <v>0</v>
      </c>
      <c r="L38" s="89">
        <f t="shared" si="4"/>
        <v>90.56</v>
      </c>
      <c r="M38" s="93" t="s">
        <v>53</v>
      </c>
      <c r="N38" s="91">
        <f t="shared" si="5"/>
        <v>100</v>
      </c>
      <c r="O38" s="89">
        <f t="shared" si="6"/>
        <v>63.5385</v>
      </c>
      <c r="P38" s="90" t="str">
        <f t="shared" si="7"/>
        <v>High</v>
      </c>
      <c r="Q38" s="93" t="s">
        <v>45</v>
      </c>
      <c r="R38" s="100" t="str">
        <f t="shared" si="8"/>
        <v/>
      </c>
    </row>
    <row r="39">
      <c r="A39" s="89">
        <v>36.0</v>
      </c>
      <c r="B39" s="90" t="s">
        <v>451</v>
      </c>
      <c r="C39" s="90" t="s">
        <v>127</v>
      </c>
      <c r="D39" s="91">
        <v>26.19</v>
      </c>
      <c r="E39" s="91">
        <f t="shared" si="1"/>
        <v>0</v>
      </c>
      <c r="F39" s="92">
        <v>7.46</v>
      </c>
      <c r="G39" s="91">
        <f t="shared" si="2"/>
        <v>62.7</v>
      </c>
      <c r="H39" s="93" t="s">
        <v>45</v>
      </c>
      <c r="I39" s="93" t="s">
        <v>45</v>
      </c>
      <c r="J39" s="98"/>
      <c r="K39" s="91">
        <f t="shared" si="3"/>
        <v>0</v>
      </c>
      <c r="L39" s="89">
        <f t="shared" si="4"/>
        <v>74.92</v>
      </c>
      <c r="M39" s="93" t="s">
        <v>53</v>
      </c>
      <c r="N39" s="91">
        <f t="shared" si="5"/>
        <v>100</v>
      </c>
      <c r="O39" s="89">
        <f t="shared" si="6"/>
        <v>45.707</v>
      </c>
      <c r="P39" s="90" t="str">
        <f t="shared" si="7"/>
        <v>Medium</v>
      </c>
      <c r="Q39" s="93" t="s">
        <v>53</v>
      </c>
      <c r="R39" s="100" t="str">
        <f t="shared" si="8"/>
        <v/>
      </c>
    </row>
    <row r="40">
      <c r="A40" s="89">
        <v>37.0</v>
      </c>
      <c r="B40" s="90" t="s">
        <v>453</v>
      </c>
      <c r="C40" s="90" t="s">
        <v>127</v>
      </c>
      <c r="D40" s="91">
        <v>23.23</v>
      </c>
      <c r="E40" s="91">
        <f t="shared" si="1"/>
        <v>0</v>
      </c>
      <c r="F40" s="92">
        <v>4.68</v>
      </c>
      <c r="G40" s="91">
        <f t="shared" si="2"/>
        <v>76.6</v>
      </c>
      <c r="H40" s="93" t="s">
        <v>45</v>
      </c>
      <c r="I40" s="93" t="s">
        <v>45</v>
      </c>
      <c r="J40" s="98"/>
      <c r="K40" s="91">
        <f t="shared" si="3"/>
        <v>0</v>
      </c>
      <c r="L40" s="89">
        <f t="shared" si="4"/>
        <v>74.2</v>
      </c>
      <c r="M40" s="93" t="s">
        <v>45</v>
      </c>
      <c r="N40" s="91">
        <f t="shared" si="5"/>
        <v>0</v>
      </c>
      <c r="O40" s="89">
        <f t="shared" si="6"/>
        <v>41.89</v>
      </c>
      <c r="P40" s="90" t="str">
        <f t="shared" si="7"/>
        <v>Medium</v>
      </c>
      <c r="Q40" s="93" t="s">
        <v>32</v>
      </c>
      <c r="R40" s="100" t="str">
        <f t="shared" si="8"/>
        <v/>
      </c>
    </row>
    <row r="41">
      <c r="A41" s="89">
        <v>38.0</v>
      </c>
      <c r="B41" s="90" t="s">
        <v>456</v>
      </c>
      <c r="C41" s="90" t="s">
        <v>127</v>
      </c>
      <c r="D41" s="91">
        <v>6.66</v>
      </c>
      <c r="E41" s="91">
        <f t="shared" si="1"/>
        <v>66.7</v>
      </c>
      <c r="F41" s="92">
        <v>4.06</v>
      </c>
      <c r="G41" s="91">
        <f t="shared" si="2"/>
        <v>79.7</v>
      </c>
      <c r="H41" s="93" t="s">
        <v>45</v>
      </c>
      <c r="I41" s="93" t="s">
        <v>45</v>
      </c>
      <c r="J41" s="98"/>
      <c r="K41" s="91">
        <f t="shared" si="3"/>
        <v>0</v>
      </c>
      <c r="L41" s="89">
        <f t="shared" si="4"/>
        <v>10.4</v>
      </c>
      <c r="M41" s="93" t="s">
        <v>45</v>
      </c>
      <c r="N41" s="91">
        <f t="shared" si="5"/>
        <v>0</v>
      </c>
      <c r="O41" s="89">
        <f t="shared" si="6"/>
        <v>50.245</v>
      </c>
      <c r="P41" s="90" t="str">
        <f t="shared" si="7"/>
        <v>Medium</v>
      </c>
      <c r="Q41" s="93" t="s">
        <v>51</v>
      </c>
      <c r="R41" s="100" t="str">
        <f t="shared" si="8"/>
        <v/>
      </c>
    </row>
    <row r="42">
      <c r="A42" s="89">
        <v>39.0</v>
      </c>
      <c r="B42" s="90" t="s">
        <v>458</v>
      </c>
      <c r="C42" s="90" t="s">
        <v>127</v>
      </c>
      <c r="D42" s="91">
        <v>17.15</v>
      </c>
      <c r="E42" s="91">
        <f t="shared" si="1"/>
        <v>14.25</v>
      </c>
      <c r="F42" s="92">
        <v>1.89</v>
      </c>
      <c r="G42" s="91">
        <f t="shared" si="2"/>
        <v>90.55</v>
      </c>
      <c r="H42" s="93" t="s">
        <v>53</v>
      </c>
      <c r="I42" s="93" t="s">
        <v>53</v>
      </c>
      <c r="J42" s="98"/>
      <c r="K42" s="91">
        <f t="shared" si="3"/>
        <v>0</v>
      </c>
      <c r="L42" s="89">
        <f t="shared" si="4"/>
        <v>61.04</v>
      </c>
      <c r="M42" s="93" t="s">
        <v>53</v>
      </c>
      <c r="N42" s="91">
        <f t="shared" si="5"/>
        <v>0</v>
      </c>
      <c r="O42" s="89">
        <f t="shared" si="6"/>
        <v>49.7015</v>
      </c>
      <c r="P42" s="90" t="str">
        <f t="shared" si="7"/>
        <v>Medium</v>
      </c>
      <c r="Q42" s="93" t="s">
        <v>32</v>
      </c>
      <c r="R42" s="100" t="str">
        <f t="shared" si="8"/>
        <v/>
      </c>
    </row>
    <row r="43">
      <c r="A43" s="89">
        <v>40.0</v>
      </c>
      <c r="B43" s="90" t="s">
        <v>461</v>
      </c>
      <c r="C43" s="90" t="s">
        <v>127</v>
      </c>
      <c r="D43" s="91">
        <v>13.61</v>
      </c>
      <c r="E43" s="91">
        <f t="shared" si="1"/>
        <v>31.95</v>
      </c>
      <c r="F43" s="92">
        <v>6.47</v>
      </c>
      <c r="G43" s="91">
        <f t="shared" si="2"/>
        <v>67.65</v>
      </c>
      <c r="H43" s="93" t="s">
        <v>32</v>
      </c>
      <c r="I43" s="93" t="s">
        <v>32</v>
      </c>
      <c r="J43" s="98"/>
      <c r="K43" s="91">
        <f t="shared" si="3"/>
        <v>0</v>
      </c>
      <c r="L43" s="89">
        <f t="shared" si="4"/>
        <v>28.56</v>
      </c>
      <c r="M43" s="93" t="s">
        <v>53</v>
      </c>
      <c r="N43" s="91">
        <f t="shared" si="5"/>
        <v>100</v>
      </c>
      <c r="O43" s="89">
        <f t="shared" si="6"/>
        <v>49.6885</v>
      </c>
      <c r="P43" s="90" t="str">
        <f t="shared" si="7"/>
        <v>Medium</v>
      </c>
      <c r="Q43" s="93" t="s">
        <v>45</v>
      </c>
      <c r="R43" s="100" t="str">
        <f t="shared" si="8"/>
        <v/>
      </c>
    </row>
    <row r="44">
      <c r="A44" s="89">
        <v>41.0</v>
      </c>
      <c r="B44" s="90" t="s">
        <v>275</v>
      </c>
      <c r="C44" s="90" t="s">
        <v>127</v>
      </c>
      <c r="D44" s="91">
        <v>11.94</v>
      </c>
      <c r="E44" s="91">
        <f t="shared" si="1"/>
        <v>40.3</v>
      </c>
      <c r="F44" s="92">
        <v>3.37</v>
      </c>
      <c r="G44" s="91">
        <f t="shared" si="2"/>
        <v>83.15</v>
      </c>
      <c r="H44" s="93" t="s">
        <v>32</v>
      </c>
      <c r="I44" s="93" t="s">
        <v>32</v>
      </c>
      <c r="J44" s="98"/>
      <c r="K44" s="91">
        <f t="shared" si="3"/>
        <v>0</v>
      </c>
      <c r="L44" s="89">
        <f t="shared" si="4"/>
        <v>34.28</v>
      </c>
      <c r="M44" s="93" t="s">
        <v>45</v>
      </c>
      <c r="N44" s="91">
        <f t="shared" si="5"/>
        <v>100</v>
      </c>
      <c r="O44" s="89">
        <f t="shared" si="6"/>
        <v>58.9055</v>
      </c>
      <c r="P44" s="90" t="str">
        <f t="shared" si="7"/>
        <v>High</v>
      </c>
      <c r="Q44" s="93" t="s">
        <v>45</v>
      </c>
      <c r="R44" s="100" t="str">
        <f t="shared" si="8"/>
        <v/>
      </c>
    </row>
    <row r="45">
      <c r="A45" s="89">
        <v>42.0</v>
      </c>
      <c r="B45" s="90" t="s">
        <v>462</v>
      </c>
      <c r="C45" s="90" t="s">
        <v>127</v>
      </c>
      <c r="D45" s="91">
        <v>3.1</v>
      </c>
      <c r="E45" s="91">
        <f t="shared" si="1"/>
        <v>84.5</v>
      </c>
      <c r="F45" s="92">
        <v>17.37</v>
      </c>
      <c r="G45" s="91">
        <f t="shared" si="2"/>
        <v>13.15</v>
      </c>
      <c r="H45" s="93" t="s">
        <v>32</v>
      </c>
      <c r="I45" s="93" t="s">
        <v>32</v>
      </c>
      <c r="J45" s="98"/>
      <c r="K45" s="91">
        <f t="shared" si="3"/>
        <v>0</v>
      </c>
      <c r="L45" s="89">
        <f t="shared" si="4"/>
        <v>57.08</v>
      </c>
      <c r="M45" s="93" t="s">
        <v>32</v>
      </c>
      <c r="N45" s="91">
        <f t="shared" si="5"/>
        <v>0</v>
      </c>
      <c r="O45" s="89">
        <f t="shared" si="6"/>
        <v>28.5255</v>
      </c>
      <c r="P45" s="90" t="str">
        <f t="shared" si="7"/>
        <v>Low</v>
      </c>
      <c r="Q45" s="93" t="s">
        <v>45</v>
      </c>
      <c r="R45" s="100" t="str">
        <f t="shared" si="8"/>
        <v/>
      </c>
    </row>
    <row r="46">
      <c r="A46" s="89">
        <v>43.0</v>
      </c>
      <c r="B46" s="90" t="s">
        <v>459</v>
      </c>
      <c r="C46" s="90" t="s">
        <v>127</v>
      </c>
      <c r="D46" s="91">
        <v>9.19</v>
      </c>
      <c r="E46" s="91">
        <f t="shared" si="1"/>
        <v>54.05</v>
      </c>
      <c r="F46" s="92">
        <v>10.93</v>
      </c>
      <c r="G46" s="91">
        <f t="shared" si="2"/>
        <v>45.35</v>
      </c>
      <c r="H46" s="93" t="s">
        <v>32</v>
      </c>
      <c r="I46" s="93" t="s">
        <v>32</v>
      </c>
      <c r="J46" s="98"/>
      <c r="K46" s="91">
        <f t="shared" si="3"/>
        <v>0</v>
      </c>
      <c r="L46" s="89">
        <f t="shared" si="4"/>
        <v>6.96</v>
      </c>
      <c r="M46" s="93" t="s">
        <v>53</v>
      </c>
      <c r="N46" s="91">
        <f t="shared" si="5"/>
        <v>100</v>
      </c>
      <c r="O46" s="89">
        <f t="shared" si="6"/>
        <v>41.9135</v>
      </c>
      <c r="P46" s="90" t="str">
        <f t="shared" si="7"/>
        <v>Medium</v>
      </c>
      <c r="Q46" s="93" t="s">
        <v>45</v>
      </c>
      <c r="R46" s="100" t="str">
        <f t="shared" si="8"/>
        <v/>
      </c>
    </row>
    <row r="47">
      <c r="A47" s="89">
        <v>44.0</v>
      </c>
      <c r="B47" s="90" t="s">
        <v>247</v>
      </c>
      <c r="C47" s="90" t="s">
        <v>127</v>
      </c>
      <c r="D47" s="91">
        <v>25.45</v>
      </c>
      <c r="E47" s="91">
        <f t="shared" si="1"/>
        <v>0</v>
      </c>
      <c r="F47" s="92">
        <v>6.68</v>
      </c>
      <c r="G47" s="91">
        <f t="shared" si="2"/>
        <v>66.6</v>
      </c>
      <c r="H47" s="93" t="s">
        <v>32</v>
      </c>
      <c r="I47" s="93" t="s">
        <v>45</v>
      </c>
      <c r="J47" s="101" t="s">
        <v>464</v>
      </c>
      <c r="K47" s="91">
        <f t="shared" si="3"/>
        <v>100</v>
      </c>
      <c r="L47" s="89">
        <f t="shared" si="4"/>
        <v>75.08</v>
      </c>
      <c r="M47" s="93" t="s">
        <v>32</v>
      </c>
      <c r="N47" s="91">
        <f t="shared" si="5"/>
        <v>100</v>
      </c>
      <c r="O47" s="89">
        <f t="shared" si="6"/>
        <v>62.478</v>
      </c>
      <c r="P47" s="90" t="str">
        <f t="shared" si="7"/>
        <v>High</v>
      </c>
      <c r="Q47" s="93" t="s">
        <v>32</v>
      </c>
      <c r="R47" s="100" t="str">
        <f t="shared" si="8"/>
        <v/>
      </c>
    </row>
    <row r="48">
      <c r="A48" s="89">
        <v>45.0</v>
      </c>
      <c r="B48" s="90" t="s">
        <v>465</v>
      </c>
      <c r="C48" s="90" t="s">
        <v>127</v>
      </c>
      <c r="D48" s="91">
        <v>1.32</v>
      </c>
      <c r="E48" s="91">
        <f t="shared" si="1"/>
        <v>93.4</v>
      </c>
      <c r="F48" s="92">
        <v>3.44</v>
      </c>
      <c r="G48" s="91">
        <f t="shared" si="2"/>
        <v>82.8</v>
      </c>
      <c r="H48" s="93" t="s">
        <v>32</v>
      </c>
      <c r="I48" s="93" t="s">
        <v>32</v>
      </c>
      <c r="J48" s="98"/>
      <c r="K48" s="91">
        <f t="shared" si="3"/>
        <v>0</v>
      </c>
      <c r="L48" s="89">
        <f t="shared" si="4"/>
        <v>8.48</v>
      </c>
      <c r="M48" s="93" t="s">
        <v>32</v>
      </c>
      <c r="N48" s="91">
        <f t="shared" si="5"/>
        <v>0</v>
      </c>
      <c r="O48" s="89">
        <f t="shared" si="6"/>
        <v>56.788</v>
      </c>
      <c r="P48" s="90" t="str">
        <f t="shared" si="7"/>
        <v>High</v>
      </c>
      <c r="Q48" s="93" t="s">
        <v>45</v>
      </c>
      <c r="R48" s="90" t="str">
        <f t="shared" si="8"/>
        <v>YES</v>
      </c>
    </row>
    <row r="49">
      <c r="A49" s="89">
        <v>46.0</v>
      </c>
      <c r="B49" s="90" t="s">
        <v>211</v>
      </c>
      <c r="C49" s="90" t="s">
        <v>127</v>
      </c>
      <c r="D49" s="91">
        <v>1.55</v>
      </c>
      <c r="E49" s="91">
        <f t="shared" si="1"/>
        <v>92.25</v>
      </c>
      <c r="F49" s="92">
        <v>4.43</v>
      </c>
      <c r="G49" s="91">
        <f t="shared" si="2"/>
        <v>77.85</v>
      </c>
      <c r="H49" s="93" t="s">
        <v>32</v>
      </c>
      <c r="I49" s="93" t="s">
        <v>51</v>
      </c>
      <c r="J49" s="101" t="s">
        <v>466</v>
      </c>
      <c r="K49" s="91">
        <f t="shared" si="3"/>
        <v>100</v>
      </c>
      <c r="L49" s="89">
        <f t="shared" si="4"/>
        <v>11.52</v>
      </c>
      <c r="M49" s="93" t="s">
        <v>32</v>
      </c>
      <c r="N49" s="91">
        <f t="shared" si="5"/>
        <v>100</v>
      </c>
      <c r="O49" s="89">
        <f t="shared" si="6"/>
        <v>79.6345</v>
      </c>
      <c r="P49" s="90" t="str">
        <f t="shared" si="7"/>
        <v>Very High</v>
      </c>
      <c r="Q49" s="93" t="s">
        <v>45</v>
      </c>
      <c r="R49" s="90" t="str">
        <f t="shared" si="8"/>
        <v>YES</v>
      </c>
    </row>
    <row r="50">
      <c r="A50" s="89">
        <v>47.0</v>
      </c>
      <c r="B50" s="90" t="s">
        <v>259</v>
      </c>
      <c r="C50" s="90" t="s">
        <v>127</v>
      </c>
      <c r="D50" s="91">
        <v>2.6</v>
      </c>
      <c r="E50" s="91">
        <f t="shared" si="1"/>
        <v>87</v>
      </c>
      <c r="F50" s="92">
        <v>4.36</v>
      </c>
      <c r="G50" s="91">
        <f t="shared" si="2"/>
        <v>78.2</v>
      </c>
      <c r="H50" s="93" t="s">
        <v>74</v>
      </c>
      <c r="I50" s="93" t="s">
        <v>74</v>
      </c>
      <c r="J50" s="98"/>
      <c r="K50" s="91">
        <f t="shared" si="3"/>
        <v>0</v>
      </c>
      <c r="L50" s="89">
        <f t="shared" si="4"/>
        <v>7.04</v>
      </c>
      <c r="M50" s="93" t="s">
        <v>32</v>
      </c>
      <c r="N50" s="91">
        <f t="shared" si="5"/>
        <v>100</v>
      </c>
      <c r="O50" s="89">
        <f t="shared" si="6"/>
        <v>63.294</v>
      </c>
      <c r="P50" s="90" t="str">
        <f t="shared" si="7"/>
        <v>High</v>
      </c>
      <c r="Q50" s="93" t="s">
        <v>32</v>
      </c>
      <c r="R50" s="90" t="str">
        <f t="shared" si="8"/>
        <v>YES</v>
      </c>
    </row>
    <row r="51">
      <c r="A51" s="89">
        <v>48.0</v>
      </c>
      <c r="B51" s="90" t="s">
        <v>278</v>
      </c>
      <c r="C51" s="90" t="s">
        <v>127</v>
      </c>
      <c r="D51" s="91">
        <v>16.85</v>
      </c>
      <c r="E51" s="91">
        <f t="shared" si="1"/>
        <v>15.75</v>
      </c>
      <c r="F51" s="92">
        <v>3.97</v>
      </c>
      <c r="G51" s="91">
        <f t="shared" si="2"/>
        <v>80.15</v>
      </c>
      <c r="H51" s="93" t="s">
        <v>32</v>
      </c>
      <c r="I51" s="93" t="s">
        <v>32</v>
      </c>
      <c r="J51" s="98"/>
      <c r="K51" s="91">
        <f t="shared" si="3"/>
        <v>0</v>
      </c>
      <c r="L51" s="89">
        <f t="shared" si="4"/>
        <v>51.52</v>
      </c>
      <c r="M51" s="93" t="s">
        <v>45</v>
      </c>
      <c r="N51" s="91">
        <f t="shared" si="5"/>
        <v>100</v>
      </c>
      <c r="O51" s="89">
        <f t="shared" si="6"/>
        <v>54.3695</v>
      </c>
      <c r="P51" s="90" t="str">
        <f t="shared" si="7"/>
        <v>Medium</v>
      </c>
      <c r="Q51" s="93" t="s">
        <v>51</v>
      </c>
      <c r="R51" s="100" t="str">
        <f t="shared" si="8"/>
        <v/>
      </c>
    </row>
    <row r="52">
      <c r="A52" s="89">
        <v>49.0</v>
      </c>
      <c r="B52" s="90" t="s">
        <v>467</v>
      </c>
      <c r="C52" s="90" t="s">
        <v>35</v>
      </c>
      <c r="D52" s="91">
        <v>17.79</v>
      </c>
      <c r="E52" s="91">
        <f t="shared" si="1"/>
        <v>11.05</v>
      </c>
      <c r="F52" s="92">
        <v>32.58</v>
      </c>
      <c r="G52" s="91">
        <f t="shared" si="2"/>
        <v>0</v>
      </c>
      <c r="H52" s="93" t="s">
        <v>32</v>
      </c>
      <c r="I52" s="93" t="s">
        <v>32</v>
      </c>
      <c r="J52" s="98"/>
      <c r="K52" s="91">
        <f t="shared" si="3"/>
        <v>0</v>
      </c>
      <c r="L52" s="89">
        <f t="shared" si="4"/>
        <v>59.16</v>
      </c>
      <c r="M52" s="93" t="s">
        <v>32</v>
      </c>
      <c r="N52" s="91">
        <f t="shared" si="5"/>
        <v>0</v>
      </c>
      <c r="O52" s="89">
        <f t="shared" si="6"/>
        <v>8.126</v>
      </c>
      <c r="P52" s="90" t="str">
        <f t="shared" si="7"/>
        <v>Low</v>
      </c>
      <c r="Q52" s="93" t="s">
        <v>45</v>
      </c>
      <c r="R52" s="100" t="str">
        <f t="shared" si="8"/>
        <v/>
      </c>
    </row>
    <row r="53">
      <c r="A53" s="89">
        <v>50.0</v>
      </c>
      <c r="B53" s="90" t="s">
        <v>469</v>
      </c>
      <c r="C53" s="90" t="s">
        <v>35</v>
      </c>
      <c r="D53" s="91">
        <v>18.35</v>
      </c>
      <c r="E53" s="91">
        <f t="shared" si="1"/>
        <v>8.25</v>
      </c>
      <c r="F53" s="92">
        <v>17.49</v>
      </c>
      <c r="G53" s="91">
        <f t="shared" si="2"/>
        <v>12.55</v>
      </c>
      <c r="H53" s="93" t="s">
        <v>32</v>
      </c>
      <c r="I53" s="93" t="s">
        <v>32</v>
      </c>
      <c r="J53" s="98"/>
      <c r="K53" s="91">
        <f t="shared" si="3"/>
        <v>0</v>
      </c>
      <c r="L53" s="89">
        <f t="shared" si="4"/>
        <v>3.44</v>
      </c>
      <c r="M53" s="93" t="s">
        <v>32</v>
      </c>
      <c r="N53" s="91">
        <f t="shared" si="5"/>
        <v>0</v>
      </c>
      <c r="O53" s="89">
        <f t="shared" si="6"/>
        <v>7.6415</v>
      </c>
      <c r="P53" s="90" t="str">
        <f t="shared" si="7"/>
        <v>Low</v>
      </c>
      <c r="Q53" s="93" t="s">
        <v>45</v>
      </c>
      <c r="R53" s="100" t="str">
        <f t="shared" si="8"/>
        <v/>
      </c>
    </row>
    <row r="54">
      <c r="A54" s="89">
        <v>51.0</v>
      </c>
      <c r="B54" s="90" t="s">
        <v>470</v>
      </c>
      <c r="C54" s="90" t="s">
        <v>35</v>
      </c>
      <c r="D54" s="91">
        <v>8.52</v>
      </c>
      <c r="E54" s="91">
        <f t="shared" si="1"/>
        <v>57.4</v>
      </c>
      <c r="F54" s="92">
        <v>5.41</v>
      </c>
      <c r="G54" s="91">
        <f t="shared" si="2"/>
        <v>72.95</v>
      </c>
      <c r="H54" s="93" t="s">
        <v>32</v>
      </c>
      <c r="I54" s="93" t="s">
        <v>32</v>
      </c>
      <c r="J54" s="98"/>
      <c r="K54" s="91">
        <f t="shared" si="3"/>
        <v>0</v>
      </c>
      <c r="L54" s="89">
        <f t="shared" si="4"/>
        <v>12.44</v>
      </c>
      <c r="M54" s="93" t="s">
        <v>45</v>
      </c>
      <c r="N54" s="91">
        <f t="shared" si="5"/>
        <v>100</v>
      </c>
      <c r="O54" s="89">
        <f t="shared" si="6"/>
        <v>55.5515</v>
      </c>
      <c r="P54" s="90" t="str">
        <f t="shared" si="7"/>
        <v>High</v>
      </c>
      <c r="Q54" s="93" t="s">
        <v>45</v>
      </c>
      <c r="R54" s="100" t="str">
        <f t="shared" si="8"/>
        <v/>
      </c>
    </row>
    <row r="55">
      <c r="A55" s="89">
        <v>52.0</v>
      </c>
      <c r="B55" s="90" t="s">
        <v>471</v>
      </c>
      <c r="C55" s="90" t="s">
        <v>35</v>
      </c>
      <c r="D55" s="91">
        <v>1.27</v>
      </c>
      <c r="E55" s="91">
        <f t="shared" si="1"/>
        <v>93.65</v>
      </c>
      <c r="F55" s="92">
        <v>21.53</v>
      </c>
      <c r="G55" s="91">
        <f t="shared" si="2"/>
        <v>0</v>
      </c>
      <c r="H55" s="93" t="s">
        <v>32</v>
      </c>
      <c r="I55" s="93" t="s">
        <v>32</v>
      </c>
      <c r="J55" s="98"/>
      <c r="K55" s="91">
        <f t="shared" si="3"/>
        <v>0</v>
      </c>
      <c r="L55" s="89">
        <f t="shared" si="4"/>
        <v>81.04</v>
      </c>
      <c r="M55" s="93" t="s">
        <v>45</v>
      </c>
      <c r="N55" s="91">
        <f t="shared" si="5"/>
        <v>100</v>
      </c>
      <c r="O55" s="89">
        <f t="shared" si="6"/>
        <v>36.834</v>
      </c>
      <c r="P55" s="90" t="str">
        <f t="shared" si="7"/>
        <v>Low</v>
      </c>
      <c r="Q55" s="93" t="s">
        <v>51</v>
      </c>
      <c r="R55" s="100" t="str">
        <f t="shared" si="8"/>
        <v/>
      </c>
    </row>
    <row r="56">
      <c r="A56" s="89">
        <v>53.0</v>
      </c>
      <c r="B56" s="90" t="s">
        <v>472</v>
      </c>
      <c r="C56" s="90" t="s">
        <v>35</v>
      </c>
      <c r="D56" s="91">
        <v>19.96</v>
      </c>
      <c r="E56" s="91">
        <f t="shared" si="1"/>
        <v>0.2</v>
      </c>
      <c r="F56" s="92">
        <v>22.14</v>
      </c>
      <c r="G56" s="91">
        <f t="shared" si="2"/>
        <v>0</v>
      </c>
      <c r="H56" s="93" t="s">
        <v>32</v>
      </c>
      <c r="I56" s="93" t="s">
        <v>32</v>
      </c>
      <c r="J56" s="98"/>
      <c r="K56" s="91">
        <f t="shared" si="3"/>
        <v>0</v>
      </c>
      <c r="L56" s="89">
        <f t="shared" si="4"/>
        <v>8.72</v>
      </c>
      <c r="M56" s="93" t="s">
        <v>45</v>
      </c>
      <c r="N56" s="91">
        <f t="shared" si="5"/>
        <v>100</v>
      </c>
      <c r="O56" s="89">
        <f t="shared" si="6"/>
        <v>10.912</v>
      </c>
      <c r="P56" s="90" t="str">
        <f t="shared" si="7"/>
        <v>Low</v>
      </c>
      <c r="Q56" s="93" t="s">
        <v>45</v>
      </c>
      <c r="R56" s="100" t="str">
        <f t="shared" si="8"/>
        <v/>
      </c>
    </row>
    <row r="57">
      <c r="A57" s="89">
        <v>54.0</v>
      </c>
      <c r="B57" s="90" t="s">
        <v>473</v>
      </c>
      <c r="C57" s="90" t="s">
        <v>35</v>
      </c>
      <c r="D57" s="91">
        <v>8.88</v>
      </c>
      <c r="E57" s="91">
        <f t="shared" si="1"/>
        <v>55.6</v>
      </c>
      <c r="F57" s="92">
        <v>33.98</v>
      </c>
      <c r="G57" s="91">
        <f t="shared" si="2"/>
        <v>0</v>
      </c>
      <c r="H57" s="93" t="s">
        <v>32</v>
      </c>
      <c r="I57" s="93" t="s">
        <v>32</v>
      </c>
      <c r="J57" s="98"/>
      <c r="K57" s="91">
        <f t="shared" si="3"/>
        <v>0</v>
      </c>
      <c r="L57" s="89">
        <f t="shared" si="4"/>
        <v>100</v>
      </c>
      <c r="M57" s="93" t="s">
        <v>32</v>
      </c>
      <c r="N57" s="91">
        <f t="shared" si="5"/>
        <v>0</v>
      </c>
      <c r="O57" s="89">
        <f t="shared" si="6"/>
        <v>21.12</v>
      </c>
      <c r="P57" s="90" t="str">
        <f t="shared" si="7"/>
        <v>Low</v>
      </c>
      <c r="Q57" s="93" t="s">
        <v>45</v>
      </c>
      <c r="R57" s="100" t="str">
        <f t="shared" si="8"/>
        <v/>
      </c>
    </row>
    <row r="58">
      <c r="A58" s="89">
        <v>55.0</v>
      </c>
      <c r="B58" s="90" t="s">
        <v>475</v>
      </c>
      <c r="C58" s="90" t="s">
        <v>35</v>
      </c>
      <c r="D58" s="91">
        <v>19.25</v>
      </c>
      <c r="E58" s="91">
        <f t="shared" si="1"/>
        <v>3.75</v>
      </c>
      <c r="F58" s="92">
        <v>25.81</v>
      </c>
      <c r="G58" s="91">
        <f t="shared" si="2"/>
        <v>0</v>
      </c>
      <c r="H58" s="93" t="s">
        <v>32</v>
      </c>
      <c r="I58" s="93" t="s">
        <v>32</v>
      </c>
      <c r="J58" s="98"/>
      <c r="K58" s="91">
        <f t="shared" si="3"/>
        <v>0</v>
      </c>
      <c r="L58" s="89">
        <f t="shared" si="4"/>
        <v>26.24</v>
      </c>
      <c r="M58" s="93" t="s">
        <v>32</v>
      </c>
      <c r="N58" s="91">
        <f t="shared" si="5"/>
        <v>0</v>
      </c>
      <c r="O58" s="89">
        <f t="shared" si="6"/>
        <v>3.374</v>
      </c>
      <c r="P58" s="90" t="str">
        <f t="shared" si="7"/>
        <v>Low</v>
      </c>
      <c r="Q58" s="93" t="s">
        <v>45</v>
      </c>
      <c r="R58" s="100" t="str">
        <f t="shared" si="8"/>
        <v/>
      </c>
    </row>
    <row r="59">
      <c r="A59" s="89">
        <v>56.0</v>
      </c>
      <c r="B59" s="90" t="s">
        <v>476</v>
      </c>
      <c r="C59" s="90" t="s">
        <v>35</v>
      </c>
      <c r="D59" s="91">
        <v>3.5</v>
      </c>
      <c r="E59" s="91">
        <f t="shared" si="1"/>
        <v>82.5</v>
      </c>
      <c r="F59" s="92">
        <v>21.74</v>
      </c>
      <c r="G59" s="91">
        <f t="shared" si="2"/>
        <v>0</v>
      </c>
      <c r="H59" s="93" t="s">
        <v>32</v>
      </c>
      <c r="I59" s="93" t="s">
        <v>32</v>
      </c>
      <c r="J59" s="98"/>
      <c r="K59" s="91">
        <f t="shared" si="3"/>
        <v>0</v>
      </c>
      <c r="L59" s="89">
        <f t="shared" si="4"/>
        <v>72.96</v>
      </c>
      <c r="M59" s="93" t="s">
        <v>45</v>
      </c>
      <c r="N59" s="91">
        <f t="shared" si="5"/>
        <v>100</v>
      </c>
      <c r="O59" s="89">
        <f t="shared" si="6"/>
        <v>33.796</v>
      </c>
      <c r="P59" s="90" t="str">
        <f t="shared" si="7"/>
        <v>Low</v>
      </c>
      <c r="Q59" s="93" t="s">
        <v>51</v>
      </c>
      <c r="R59" s="100" t="str">
        <f t="shared" si="8"/>
        <v/>
      </c>
    </row>
    <row r="60">
      <c r="A60" s="89">
        <v>57.0</v>
      </c>
      <c r="B60" s="90" t="s">
        <v>477</v>
      </c>
      <c r="C60" s="90" t="s">
        <v>35</v>
      </c>
      <c r="D60" s="91">
        <v>16.38</v>
      </c>
      <c r="E60" s="91">
        <f t="shared" si="1"/>
        <v>18.1</v>
      </c>
      <c r="F60" s="92">
        <v>27.85</v>
      </c>
      <c r="G60" s="91">
        <f t="shared" si="2"/>
        <v>0</v>
      </c>
      <c r="H60" s="93" t="s">
        <v>32</v>
      </c>
      <c r="I60" s="93" t="s">
        <v>32</v>
      </c>
      <c r="J60" s="98"/>
      <c r="K60" s="91">
        <f t="shared" si="3"/>
        <v>0</v>
      </c>
      <c r="L60" s="89">
        <f t="shared" si="4"/>
        <v>45.88</v>
      </c>
      <c r="M60" s="93" t="s">
        <v>32</v>
      </c>
      <c r="N60" s="91">
        <f t="shared" si="5"/>
        <v>0</v>
      </c>
      <c r="O60" s="89">
        <f t="shared" si="6"/>
        <v>8.208</v>
      </c>
      <c r="P60" s="90" t="str">
        <f t="shared" si="7"/>
        <v>Low</v>
      </c>
      <c r="Q60" s="93" t="s">
        <v>51</v>
      </c>
      <c r="R60" s="100" t="str">
        <f t="shared" si="8"/>
        <v/>
      </c>
    </row>
    <row r="61">
      <c r="A61" s="89">
        <v>58.0</v>
      </c>
      <c r="B61" s="90" t="s">
        <v>478</v>
      </c>
      <c r="C61" s="90" t="s">
        <v>35</v>
      </c>
      <c r="D61" s="91">
        <v>8.22</v>
      </c>
      <c r="E61" s="91">
        <f t="shared" si="1"/>
        <v>58.9</v>
      </c>
      <c r="F61" s="92">
        <v>23.3</v>
      </c>
      <c r="G61" s="91">
        <f t="shared" si="2"/>
        <v>0</v>
      </c>
      <c r="H61" s="93" t="s">
        <v>32</v>
      </c>
      <c r="I61" s="93" t="s">
        <v>32</v>
      </c>
      <c r="J61" s="98"/>
      <c r="K61" s="91">
        <f t="shared" si="3"/>
        <v>0</v>
      </c>
      <c r="L61" s="89">
        <f t="shared" si="4"/>
        <v>60.32</v>
      </c>
      <c r="M61" s="93" t="s">
        <v>45</v>
      </c>
      <c r="N61" s="91">
        <f t="shared" si="5"/>
        <v>100</v>
      </c>
      <c r="O61" s="89">
        <f t="shared" si="6"/>
        <v>27.812</v>
      </c>
      <c r="P61" s="90" t="str">
        <f t="shared" si="7"/>
        <v>Low</v>
      </c>
      <c r="Q61" s="93" t="s">
        <v>51</v>
      </c>
      <c r="R61" s="100" t="str">
        <f t="shared" si="8"/>
        <v/>
      </c>
    </row>
    <row r="62">
      <c r="A62" s="89">
        <v>59.0</v>
      </c>
      <c r="B62" s="90" t="s">
        <v>320</v>
      </c>
      <c r="C62" s="90" t="s">
        <v>35</v>
      </c>
      <c r="D62" s="91">
        <v>2.74</v>
      </c>
      <c r="E62" s="91">
        <f t="shared" si="1"/>
        <v>86.3</v>
      </c>
      <c r="F62" s="92">
        <v>8.51</v>
      </c>
      <c r="G62" s="91">
        <f t="shared" si="2"/>
        <v>57.45</v>
      </c>
      <c r="H62" s="93" t="s">
        <v>32</v>
      </c>
      <c r="I62" s="93" t="s">
        <v>32</v>
      </c>
      <c r="J62" s="98"/>
      <c r="K62" s="91">
        <f t="shared" si="3"/>
        <v>0</v>
      </c>
      <c r="L62" s="89">
        <f t="shared" si="4"/>
        <v>23.08</v>
      </c>
      <c r="M62" s="93" t="s">
        <v>45</v>
      </c>
      <c r="N62" s="91">
        <f t="shared" si="5"/>
        <v>100</v>
      </c>
      <c r="O62" s="89">
        <f t="shared" si="6"/>
        <v>55.4205</v>
      </c>
      <c r="P62" s="90" t="str">
        <f t="shared" si="7"/>
        <v>High</v>
      </c>
      <c r="Q62" s="93" t="s">
        <v>45</v>
      </c>
      <c r="R62" s="100" t="str">
        <f t="shared" si="8"/>
        <v/>
      </c>
    </row>
    <row r="63">
      <c r="A63" s="89">
        <v>60.0</v>
      </c>
      <c r="B63" s="90" t="s">
        <v>479</v>
      </c>
      <c r="C63" s="90" t="s">
        <v>35</v>
      </c>
      <c r="D63" s="91">
        <v>1.22</v>
      </c>
      <c r="E63" s="91">
        <f t="shared" si="1"/>
        <v>93.9</v>
      </c>
      <c r="F63" s="92">
        <v>25.0</v>
      </c>
      <c r="G63" s="91">
        <f t="shared" si="2"/>
        <v>0</v>
      </c>
      <c r="H63" s="93" t="s">
        <v>32</v>
      </c>
      <c r="I63" s="93" t="s">
        <v>32</v>
      </c>
      <c r="J63" s="98"/>
      <c r="K63" s="91">
        <f t="shared" si="3"/>
        <v>0</v>
      </c>
      <c r="L63" s="89">
        <f t="shared" si="4"/>
        <v>95.12</v>
      </c>
      <c r="M63" s="93" t="s">
        <v>53</v>
      </c>
      <c r="N63" s="91">
        <f t="shared" si="5"/>
        <v>100</v>
      </c>
      <c r="O63" s="89">
        <f t="shared" si="6"/>
        <v>38.292</v>
      </c>
      <c r="P63" s="90" t="str">
        <f t="shared" si="7"/>
        <v>Low</v>
      </c>
      <c r="Q63" s="93" t="s">
        <v>45</v>
      </c>
      <c r="R63" s="100" t="str">
        <f t="shared" si="8"/>
        <v/>
      </c>
    </row>
    <row r="64">
      <c r="A64" s="89">
        <v>61.0</v>
      </c>
      <c r="B64" s="90" t="s">
        <v>481</v>
      </c>
      <c r="C64" s="90" t="s">
        <v>35</v>
      </c>
      <c r="D64" s="91">
        <v>30.68</v>
      </c>
      <c r="E64" s="91">
        <f t="shared" si="1"/>
        <v>0</v>
      </c>
      <c r="F64" s="92">
        <v>24.92</v>
      </c>
      <c r="G64" s="91">
        <f t="shared" si="2"/>
        <v>0</v>
      </c>
      <c r="H64" s="93" t="s">
        <v>32</v>
      </c>
      <c r="I64" s="93" t="s">
        <v>32</v>
      </c>
      <c r="J64" s="98"/>
      <c r="K64" s="91">
        <f t="shared" si="3"/>
        <v>0</v>
      </c>
      <c r="L64" s="89">
        <f t="shared" si="4"/>
        <v>23.04</v>
      </c>
      <c r="M64" s="93" t="s">
        <v>53</v>
      </c>
      <c r="N64" s="91">
        <f t="shared" si="5"/>
        <v>100</v>
      </c>
      <c r="O64" s="89">
        <f t="shared" si="6"/>
        <v>12.304</v>
      </c>
      <c r="P64" s="90" t="str">
        <f t="shared" si="7"/>
        <v>Low</v>
      </c>
      <c r="Q64" s="93" t="s">
        <v>53</v>
      </c>
      <c r="R64" s="100" t="str">
        <f t="shared" si="8"/>
        <v/>
      </c>
    </row>
    <row r="65">
      <c r="A65" s="89">
        <v>62.0</v>
      </c>
      <c r="B65" s="90" t="s">
        <v>482</v>
      </c>
      <c r="C65" s="90" t="s">
        <v>35</v>
      </c>
      <c r="D65" s="91">
        <v>15.93</v>
      </c>
      <c r="E65" s="91">
        <f t="shared" si="1"/>
        <v>20.35</v>
      </c>
      <c r="F65" s="92">
        <v>15.68</v>
      </c>
      <c r="G65" s="91">
        <f t="shared" si="2"/>
        <v>21.6</v>
      </c>
      <c r="H65" s="93" t="s">
        <v>32</v>
      </c>
      <c r="I65" s="93" t="s">
        <v>32</v>
      </c>
      <c r="J65" s="98"/>
      <c r="K65" s="91">
        <f t="shared" si="3"/>
        <v>0</v>
      </c>
      <c r="L65" s="89">
        <f t="shared" si="4"/>
        <v>1</v>
      </c>
      <c r="M65" s="93" t="s">
        <v>45</v>
      </c>
      <c r="N65" s="91">
        <f t="shared" si="5"/>
        <v>100</v>
      </c>
      <c r="O65" s="89">
        <f t="shared" si="6"/>
        <v>23.89</v>
      </c>
      <c r="P65" s="90" t="str">
        <f t="shared" si="7"/>
        <v>Low</v>
      </c>
      <c r="Q65" s="93" t="s">
        <v>45</v>
      </c>
      <c r="R65" s="100" t="str">
        <f t="shared" si="8"/>
        <v/>
      </c>
    </row>
    <row r="66">
      <c r="A66" s="89">
        <v>63.0</v>
      </c>
      <c r="B66" s="90" t="s">
        <v>303</v>
      </c>
      <c r="C66" s="90" t="s">
        <v>35</v>
      </c>
      <c r="D66" s="91">
        <v>20.09</v>
      </c>
      <c r="E66" s="91">
        <f t="shared" si="1"/>
        <v>0</v>
      </c>
      <c r="F66" s="92">
        <v>4.92</v>
      </c>
      <c r="G66" s="91">
        <f t="shared" si="2"/>
        <v>75.4</v>
      </c>
      <c r="H66" s="93" t="s">
        <v>32</v>
      </c>
      <c r="I66" s="93" t="s">
        <v>32</v>
      </c>
      <c r="J66" s="98"/>
      <c r="K66" s="91">
        <f t="shared" si="3"/>
        <v>0</v>
      </c>
      <c r="L66" s="89">
        <f t="shared" si="4"/>
        <v>60.68</v>
      </c>
      <c r="M66" s="93" t="s">
        <v>53</v>
      </c>
      <c r="N66" s="91">
        <f t="shared" si="5"/>
        <v>100</v>
      </c>
      <c r="O66" s="89">
        <f t="shared" si="6"/>
        <v>49.998</v>
      </c>
      <c r="P66" s="90" t="str">
        <f t="shared" si="7"/>
        <v>Medium</v>
      </c>
      <c r="Q66" s="93" t="s">
        <v>53</v>
      </c>
      <c r="R66" s="100" t="str">
        <f t="shared" si="8"/>
        <v/>
      </c>
    </row>
    <row r="67">
      <c r="A67" s="89">
        <v>64.0</v>
      </c>
      <c r="B67" s="90" t="s">
        <v>220</v>
      </c>
      <c r="C67" s="90" t="s">
        <v>35</v>
      </c>
      <c r="D67" s="91">
        <v>30.07</v>
      </c>
      <c r="E67" s="91">
        <f t="shared" si="1"/>
        <v>0</v>
      </c>
      <c r="F67" s="92">
        <v>6.47</v>
      </c>
      <c r="G67" s="91">
        <f t="shared" si="2"/>
        <v>67.65</v>
      </c>
      <c r="H67" s="93" t="s">
        <v>32</v>
      </c>
      <c r="I67" s="93" t="s">
        <v>32</v>
      </c>
      <c r="J67" s="101" t="s">
        <v>450</v>
      </c>
      <c r="K67" s="91">
        <f t="shared" si="3"/>
        <v>30</v>
      </c>
      <c r="L67" s="89">
        <f t="shared" si="4"/>
        <v>94.4</v>
      </c>
      <c r="M67" s="93" t="s">
        <v>53</v>
      </c>
      <c r="N67" s="91">
        <f t="shared" si="5"/>
        <v>100</v>
      </c>
      <c r="O67" s="89">
        <f t="shared" si="6"/>
        <v>54.3825</v>
      </c>
      <c r="P67" s="90" t="str">
        <f t="shared" si="7"/>
        <v>Medium</v>
      </c>
      <c r="Q67" s="93" t="s">
        <v>45</v>
      </c>
      <c r="R67" s="100" t="str">
        <f t="shared" si="8"/>
        <v/>
      </c>
    </row>
    <row r="68">
      <c r="A68" s="89">
        <v>65.0</v>
      </c>
      <c r="B68" s="90" t="s">
        <v>483</v>
      </c>
      <c r="C68" s="90" t="s">
        <v>35</v>
      </c>
      <c r="D68" s="91">
        <v>4.16</v>
      </c>
      <c r="E68" s="91">
        <f t="shared" si="1"/>
        <v>79.2</v>
      </c>
      <c r="F68" s="92">
        <v>12.23</v>
      </c>
      <c r="G68" s="91">
        <f t="shared" si="2"/>
        <v>38.85</v>
      </c>
      <c r="H68" s="93" t="s">
        <v>32</v>
      </c>
      <c r="I68" s="93" t="s">
        <v>32</v>
      </c>
      <c r="J68" s="98"/>
      <c r="K68" s="91">
        <f t="shared" si="3"/>
        <v>0</v>
      </c>
      <c r="L68" s="89">
        <f t="shared" si="4"/>
        <v>32.28</v>
      </c>
      <c r="M68" s="93" t="s">
        <v>53</v>
      </c>
      <c r="N68" s="91">
        <f t="shared" si="5"/>
        <v>100</v>
      </c>
      <c r="O68" s="89">
        <f t="shared" si="6"/>
        <v>46.5505</v>
      </c>
      <c r="P68" s="90" t="str">
        <f t="shared" si="7"/>
        <v>Medium</v>
      </c>
      <c r="Q68" s="93" t="s">
        <v>53</v>
      </c>
      <c r="R68" s="100" t="str">
        <f t="shared" si="8"/>
        <v/>
      </c>
    </row>
    <row r="69">
      <c r="A69" s="89">
        <v>66.0</v>
      </c>
      <c r="B69" s="90" t="s">
        <v>485</v>
      </c>
      <c r="C69" s="90" t="s">
        <v>35</v>
      </c>
      <c r="D69" s="91">
        <v>4.81</v>
      </c>
      <c r="E69" s="91">
        <f t="shared" si="1"/>
        <v>75.95</v>
      </c>
      <c r="F69" s="92">
        <v>31.59</v>
      </c>
      <c r="G69" s="91">
        <f t="shared" si="2"/>
        <v>0</v>
      </c>
      <c r="H69" s="93" t="s">
        <v>32</v>
      </c>
      <c r="I69" s="93" t="s">
        <v>32</v>
      </c>
      <c r="J69" s="98"/>
      <c r="K69" s="91">
        <f t="shared" si="3"/>
        <v>0</v>
      </c>
      <c r="L69" s="89">
        <f t="shared" si="4"/>
        <v>100</v>
      </c>
      <c r="M69" s="93" t="s">
        <v>45</v>
      </c>
      <c r="N69" s="91">
        <f t="shared" si="5"/>
        <v>100</v>
      </c>
      <c r="O69" s="89">
        <f t="shared" si="6"/>
        <v>35.19</v>
      </c>
      <c r="P69" s="90" t="str">
        <f t="shared" si="7"/>
        <v>Low</v>
      </c>
      <c r="Q69" s="93" t="s">
        <v>51</v>
      </c>
      <c r="R69" s="100" t="str">
        <f t="shared" si="8"/>
        <v/>
      </c>
    </row>
    <row r="70">
      <c r="A70" s="89">
        <v>67.0</v>
      </c>
      <c r="B70" s="90" t="s">
        <v>486</v>
      </c>
      <c r="C70" s="90" t="s">
        <v>35</v>
      </c>
      <c r="D70" s="91">
        <v>16.44</v>
      </c>
      <c r="E70" s="91">
        <f t="shared" si="1"/>
        <v>17.8</v>
      </c>
      <c r="F70" s="92">
        <v>26.14</v>
      </c>
      <c r="G70" s="91">
        <f t="shared" si="2"/>
        <v>0</v>
      </c>
      <c r="H70" s="93" t="s">
        <v>32</v>
      </c>
      <c r="I70" s="93" t="s">
        <v>32</v>
      </c>
      <c r="J70" s="98"/>
      <c r="K70" s="91">
        <f t="shared" si="3"/>
        <v>0</v>
      </c>
      <c r="L70" s="89">
        <f t="shared" si="4"/>
        <v>38.8</v>
      </c>
      <c r="M70" s="93" t="s">
        <v>45</v>
      </c>
      <c r="N70" s="91">
        <f t="shared" si="5"/>
        <v>100</v>
      </c>
      <c r="O70" s="89">
        <f t="shared" si="6"/>
        <v>17.44</v>
      </c>
      <c r="P70" s="90" t="str">
        <f t="shared" si="7"/>
        <v>Low</v>
      </c>
      <c r="Q70" s="93" t="s">
        <v>45</v>
      </c>
      <c r="R70" s="100" t="str">
        <f t="shared" si="8"/>
        <v/>
      </c>
    </row>
    <row r="71">
      <c r="A71" s="89">
        <v>68.0</v>
      </c>
      <c r="B71" s="90" t="s">
        <v>34</v>
      </c>
      <c r="C71" s="90" t="s">
        <v>35</v>
      </c>
      <c r="D71" s="91">
        <v>2.87</v>
      </c>
      <c r="E71" s="91">
        <f t="shared" si="1"/>
        <v>85.65</v>
      </c>
      <c r="F71" s="92">
        <v>4.1</v>
      </c>
      <c r="G71" s="91">
        <f t="shared" si="2"/>
        <v>79.5</v>
      </c>
      <c r="H71" s="93" t="s">
        <v>287</v>
      </c>
      <c r="I71" s="93" t="s">
        <v>51</v>
      </c>
      <c r="J71" s="101" t="s">
        <v>488</v>
      </c>
      <c r="K71" s="91">
        <f t="shared" si="3"/>
        <v>100</v>
      </c>
      <c r="L71" s="89">
        <f t="shared" si="4"/>
        <v>4.92</v>
      </c>
      <c r="M71" s="93" t="s">
        <v>45</v>
      </c>
      <c r="N71" s="91">
        <f t="shared" si="5"/>
        <v>100</v>
      </c>
      <c r="O71" s="89">
        <f t="shared" si="6"/>
        <v>78.397</v>
      </c>
      <c r="P71" s="90" t="str">
        <f t="shared" si="7"/>
        <v>Very High</v>
      </c>
      <c r="Q71" s="93" t="s">
        <v>45</v>
      </c>
      <c r="R71" s="90" t="str">
        <f t="shared" si="8"/>
        <v>YES</v>
      </c>
    </row>
    <row r="72">
      <c r="A72" s="89">
        <v>69.0</v>
      </c>
      <c r="B72" s="90" t="s">
        <v>489</v>
      </c>
      <c r="C72" s="90" t="s">
        <v>35</v>
      </c>
      <c r="D72" s="91">
        <v>9.07</v>
      </c>
      <c r="E72" s="91">
        <f t="shared" si="1"/>
        <v>54.65</v>
      </c>
      <c r="F72" s="92">
        <v>24.6</v>
      </c>
      <c r="G72" s="91">
        <f t="shared" si="2"/>
        <v>0</v>
      </c>
      <c r="H72" s="93" t="s">
        <v>32</v>
      </c>
      <c r="I72" s="93" t="s">
        <v>32</v>
      </c>
      <c r="J72" s="98"/>
      <c r="K72" s="91">
        <f t="shared" si="3"/>
        <v>0</v>
      </c>
      <c r="L72" s="89">
        <f t="shared" si="4"/>
        <v>62.12</v>
      </c>
      <c r="M72" s="93" t="s">
        <v>45</v>
      </c>
      <c r="N72" s="91">
        <f t="shared" si="5"/>
        <v>100</v>
      </c>
      <c r="O72" s="89">
        <f t="shared" si="6"/>
        <v>27.142</v>
      </c>
      <c r="P72" s="90" t="str">
        <f t="shared" si="7"/>
        <v>Low</v>
      </c>
      <c r="Q72" s="93" t="s">
        <v>45</v>
      </c>
      <c r="R72" s="100" t="str">
        <f t="shared" si="8"/>
        <v/>
      </c>
    </row>
    <row r="73">
      <c r="A73" s="89">
        <v>70.0</v>
      </c>
      <c r="B73" s="90" t="s">
        <v>491</v>
      </c>
      <c r="C73" s="90" t="s">
        <v>35</v>
      </c>
      <c r="D73" s="91">
        <v>18.99</v>
      </c>
      <c r="E73" s="91">
        <f t="shared" si="1"/>
        <v>5.05</v>
      </c>
      <c r="F73" s="92">
        <v>31.87</v>
      </c>
      <c r="G73" s="91">
        <f t="shared" si="2"/>
        <v>0</v>
      </c>
      <c r="H73" s="93" t="s">
        <v>32</v>
      </c>
      <c r="I73" s="93" t="s">
        <v>32</v>
      </c>
      <c r="J73" s="98"/>
      <c r="K73" s="91">
        <f t="shared" si="3"/>
        <v>0</v>
      </c>
      <c r="L73" s="89">
        <f t="shared" si="4"/>
        <v>51.52</v>
      </c>
      <c r="M73" s="93" t="s">
        <v>45</v>
      </c>
      <c r="N73" s="91">
        <f t="shared" si="5"/>
        <v>100</v>
      </c>
      <c r="O73" s="89">
        <f t="shared" si="6"/>
        <v>16.162</v>
      </c>
      <c r="P73" s="90" t="str">
        <f t="shared" si="7"/>
        <v>Low</v>
      </c>
      <c r="Q73" s="93" t="s">
        <v>51</v>
      </c>
      <c r="R73" s="100" t="str">
        <f t="shared" si="8"/>
        <v/>
      </c>
    </row>
    <row r="74">
      <c r="A74" s="89">
        <v>71.0</v>
      </c>
      <c r="B74" s="90" t="s">
        <v>493</v>
      </c>
      <c r="C74" s="90" t="s">
        <v>35</v>
      </c>
      <c r="D74" s="91">
        <v>18.34</v>
      </c>
      <c r="E74" s="91">
        <f t="shared" si="1"/>
        <v>8.3</v>
      </c>
      <c r="F74" s="92">
        <v>27.07</v>
      </c>
      <c r="G74" s="91">
        <f t="shared" si="2"/>
        <v>0</v>
      </c>
      <c r="H74" s="93" t="s">
        <v>32</v>
      </c>
      <c r="I74" s="93" t="s">
        <v>32</v>
      </c>
      <c r="J74" s="98"/>
      <c r="K74" s="91">
        <f t="shared" si="3"/>
        <v>0</v>
      </c>
      <c r="L74" s="89">
        <f t="shared" si="4"/>
        <v>34.92</v>
      </c>
      <c r="M74" s="93" t="s">
        <v>287</v>
      </c>
      <c r="N74" s="91">
        <f t="shared" si="5"/>
        <v>100</v>
      </c>
      <c r="O74" s="89">
        <f t="shared" si="6"/>
        <v>15.152</v>
      </c>
      <c r="P74" s="90" t="str">
        <f t="shared" si="7"/>
        <v>Low</v>
      </c>
      <c r="Q74" s="93" t="s">
        <v>45</v>
      </c>
      <c r="R74" s="100" t="str">
        <f t="shared" si="8"/>
        <v/>
      </c>
    </row>
    <row r="75">
      <c r="A75" s="89">
        <v>72.0</v>
      </c>
      <c r="B75" s="90" t="s">
        <v>494</v>
      </c>
      <c r="C75" s="90" t="s">
        <v>35</v>
      </c>
      <c r="D75" s="91">
        <v>5.29</v>
      </c>
      <c r="E75" s="91">
        <f t="shared" si="1"/>
        <v>73.55</v>
      </c>
      <c r="F75" s="92">
        <v>25.56</v>
      </c>
      <c r="G75" s="91">
        <f t="shared" si="2"/>
        <v>0</v>
      </c>
      <c r="H75" s="93" t="s">
        <v>32</v>
      </c>
      <c r="I75" s="93" t="s">
        <v>32</v>
      </c>
      <c r="J75" s="98"/>
      <c r="K75" s="91">
        <f t="shared" si="3"/>
        <v>0</v>
      </c>
      <c r="L75" s="89">
        <f t="shared" si="4"/>
        <v>81.08</v>
      </c>
      <c r="M75" s="93" t="s">
        <v>287</v>
      </c>
      <c r="N75" s="91">
        <f t="shared" si="5"/>
        <v>100</v>
      </c>
      <c r="O75" s="89">
        <f t="shared" si="6"/>
        <v>32.818</v>
      </c>
      <c r="P75" s="90" t="str">
        <f t="shared" si="7"/>
        <v>Low</v>
      </c>
      <c r="Q75" s="93" t="s">
        <v>51</v>
      </c>
      <c r="R75" s="100" t="str">
        <f t="shared" si="8"/>
        <v/>
      </c>
    </row>
    <row r="76">
      <c r="A76" s="89">
        <v>73.0</v>
      </c>
      <c r="B76" s="90" t="s">
        <v>495</v>
      </c>
      <c r="C76" s="90" t="s">
        <v>35</v>
      </c>
      <c r="D76" s="91">
        <v>1.22</v>
      </c>
      <c r="E76" s="91">
        <f t="shared" si="1"/>
        <v>93.9</v>
      </c>
      <c r="F76" s="92">
        <v>14.59</v>
      </c>
      <c r="G76" s="91">
        <f t="shared" si="2"/>
        <v>27.05</v>
      </c>
      <c r="H76" s="93" t="s">
        <v>32</v>
      </c>
      <c r="I76" s="93" t="s">
        <v>32</v>
      </c>
      <c r="J76" s="98"/>
      <c r="K76" s="91">
        <f t="shared" si="3"/>
        <v>0</v>
      </c>
      <c r="L76" s="89">
        <f t="shared" si="4"/>
        <v>53.48</v>
      </c>
      <c r="M76" s="93" t="s">
        <v>287</v>
      </c>
      <c r="N76" s="91">
        <f t="shared" si="5"/>
        <v>100</v>
      </c>
      <c r="O76" s="89">
        <f t="shared" si="6"/>
        <v>46.3005</v>
      </c>
      <c r="P76" s="90" t="str">
        <f t="shared" si="7"/>
        <v>Medium</v>
      </c>
      <c r="Q76" s="93" t="s">
        <v>45</v>
      </c>
      <c r="R76" s="100" t="str">
        <f t="shared" si="8"/>
        <v/>
      </c>
    </row>
    <row r="77">
      <c r="A77" s="89">
        <v>74.0</v>
      </c>
      <c r="B77" s="90" t="s">
        <v>496</v>
      </c>
      <c r="C77" s="90" t="s">
        <v>35</v>
      </c>
      <c r="D77" s="91">
        <v>15.54</v>
      </c>
      <c r="E77" s="91">
        <f t="shared" si="1"/>
        <v>22.3</v>
      </c>
      <c r="F77" s="92">
        <v>21.19</v>
      </c>
      <c r="G77" s="91">
        <f t="shared" si="2"/>
        <v>0</v>
      </c>
      <c r="H77" s="93" t="s">
        <v>32</v>
      </c>
      <c r="I77" s="93" t="s">
        <v>32</v>
      </c>
      <c r="J77" s="98"/>
      <c r="K77" s="91">
        <f t="shared" si="3"/>
        <v>0</v>
      </c>
      <c r="L77" s="89">
        <f t="shared" si="4"/>
        <v>22.6</v>
      </c>
      <c r="M77" s="93" t="s">
        <v>287</v>
      </c>
      <c r="N77" s="91">
        <f t="shared" si="5"/>
        <v>100</v>
      </c>
      <c r="O77" s="89">
        <f t="shared" si="6"/>
        <v>16.72</v>
      </c>
      <c r="P77" s="90" t="str">
        <f t="shared" si="7"/>
        <v>Low</v>
      </c>
      <c r="Q77" s="93" t="s">
        <v>45</v>
      </c>
      <c r="R77" s="100" t="str">
        <f t="shared" si="8"/>
        <v/>
      </c>
    </row>
    <row r="78">
      <c r="A78" s="89">
        <v>75.0</v>
      </c>
      <c r="B78" s="90" t="s">
        <v>497</v>
      </c>
      <c r="C78" s="90" t="s">
        <v>35</v>
      </c>
      <c r="D78" s="91">
        <v>15.3</v>
      </c>
      <c r="E78" s="91">
        <f t="shared" si="1"/>
        <v>23.5</v>
      </c>
      <c r="F78" s="92">
        <v>15.13</v>
      </c>
      <c r="G78" s="91">
        <f t="shared" si="2"/>
        <v>24.35</v>
      </c>
      <c r="H78" s="93" t="s">
        <v>32</v>
      </c>
      <c r="I78" s="93" t="s">
        <v>32</v>
      </c>
      <c r="J78" s="98"/>
      <c r="K78" s="91">
        <f t="shared" si="3"/>
        <v>0</v>
      </c>
      <c r="L78" s="89">
        <f t="shared" si="4"/>
        <v>0.68</v>
      </c>
      <c r="M78" s="93" t="s">
        <v>287</v>
      </c>
      <c r="N78" s="91">
        <f t="shared" si="5"/>
        <v>100</v>
      </c>
      <c r="O78" s="89">
        <f t="shared" si="6"/>
        <v>25.7255</v>
      </c>
      <c r="P78" s="90" t="str">
        <f t="shared" si="7"/>
        <v>Low</v>
      </c>
      <c r="Q78" s="93" t="s">
        <v>51</v>
      </c>
      <c r="R78" s="100" t="str">
        <f t="shared" si="8"/>
        <v/>
      </c>
    </row>
    <row r="79">
      <c r="A79" s="89">
        <v>76.0</v>
      </c>
      <c r="B79" s="90" t="s">
        <v>499</v>
      </c>
      <c r="C79" s="90" t="s">
        <v>35</v>
      </c>
      <c r="D79" s="91">
        <v>23.76</v>
      </c>
      <c r="E79" s="91">
        <f t="shared" si="1"/>
        <v>0</v>
      </c>
      <c r="F79" s="92">
        <v>15.78</v>
      </c>
      <c r="G79" s="91">
        <f t="shared" si="2"/>
        <v>21.1</v>
      </c>
      <c r="H79" s="93" t="s">
        <v>32</v>
      </c>
      <c r="I79" s="93" t="s">
        <v>32</v>
      </c>
      <c r="J79" s="98"/>
      <c r="K79" s="91">
        <f t="shared" si="3"/>
        <v>0</v>
      </c>
      <c r="L79" s="89">
        <f t="shared" si="4"/>
        <v>31.92</v>
      </c>
      <c r="M79" s="93" t="s">
        <v>53</v>
      </c>
      <c r="N79" s="91">
        <f t="shared" si="5"/>
        <v>100</v>
      </c>
      <c r="O79" s="89">
        <f t="shared" si="6"/>
        <v>22.687</v>
      </c>
      <c r="P79" s="90" t="str">
        <f t="shared" si="7"/>
        <v>Low</v>
      </c>
      <c r="Q79" s="93" t="s">
        <v>45</v>
      </c>
      <c r="R79" s="100" t="str">
        <f t="shared" si="8"/>
        <v/>
      </c>
    </row>
    <row r="80">
      <c r="A80" s="89">
        <v>77.0</v>
      </c>
      <c r="B80" s="90" t="s">
        <v>501</v>
      </c>
      <c r="C80" s="90" t="s">
        <v>35</v>
      </c>
      <c r="D80" s="91">
        <v>13.72</v>
      </c>
      <c r="E80" s="91">
        <f t="shared" si="1"/>
        <v>31.4</v>
      </c>
      <c r="F80" s="92">
        <v>18.34</v>
      </c>
      <c r="G80" s="91">
        <f t="shared" si="2"/>
        <v>8.3</v>
      </c>
      <c r="H80" s="93" t="s">
        <v>32</v>
      </c>
      <c r="I80" s="93" t="s">
        <v>32</v>
      </c>
      <c r="J80" s="98"/>
      <c r="K80" s="91">
        <f t="shared" si="3"/>
        <v>0</v>
      </c>
      <c r="L80" s="89">
        <f t="shared" si="4"/>
        <v>18.48</v>
      </c>
      <c r="M80" s="93" t="s">
        <v>51</v>
      </c>
      <c r="N80" s="91">
        <f t="shared" si="5"/>
        <v>100</v>
      </c>
      <c r="O80" s="89">
        <f t="shared" si="6"/>
        <v>21.863</v>
      </c>
      <c r="P80" s="90" t="str">
        <f t="shared" si="7"/>
        <v>Low</v>
      </c>
      <c r="Q80" s="93" t="s">
        <v>51</v>
      </c>
      <c r="R80" s="100" t="str">
        <f t="shared" si="8"/>
        <v/>
      </c>
    </row>
    <row r="81">
      <c r="A81" s="89">
        <v>78.0</v>
      </c>
      <c r="B81" s="90" t="s">
        <v>506</v>
      </c>
      <c r="C81" s="90" t="s">
        <v>35</v>
      </c>
      <c r="D81" s="91">
        <v>4.24</v>
      </c>
      <c r="E81" s="91">
        <f t="shared" si="1"/>
        <v>78.8</v>
      </c>
      <c r="F81" s="92">
        <v>7.61</v>
      </c>
      <c r="G81" s="91">
        <f t="shared" si="2"/>
        <v>61.95</v>
      </c>
      <c r="H81" s="93" t="s">
        <v>32</v>
      </c>
      <c r="I81" s="93" t="s">
        <v>32</v>
      </c>
      <c r="J81" s="98"/>
      <c r="K81" s="91">
        <f t="shared" si="3"/>
        <v>0</v>
      </c>
      <c r="L81" s="89">
        <f t="shared" si="4"/>
        <v>13.48</v>
      </c>
      <c r="M81" s="93" t="s">
        <v>51</v>
      </c>
      <c r="N81" s="91">
        <f t="shared" si="5"/>
        <v>100</v>
      </c>
      <c r="O81" s="89">
        <f t="shared" si="6"/>
        <v>54.9855</v>
      </c>
      <c r="P81" s="90" t="str">
        <f t="shared" si="7"/>
        <v>Medium</v>
      </c>
      <c r="Q81" s="93" t="s">
        <v>51</v>
      </c>
      <c r="R81" s="100" t="str">
        <f t="shared" si="8"/>
        <v/>
      </c>
    </row>
    <row r="82">
      <c r="A82" s="89">
        <v>79.0</v>
      </c>
      <c r="B82" s="90" t="s">
        <v>508</v>
      </c>
      <c r="C82" s="90" t="s">
        <v>35</v>
      </c>
      <c r="D82" s="91">
        <v>11.02</v>
      </c>
      <c r="E82" s="91">
        <f t="shared" si="1"/>
        <v>44.9</v>
      </c>
      <c r="F82" s="92">
        <v>17.99</v>
      </c>
      <c r="G82" s="91">
        <f t="shared" si="2"/>
        <v>10.05</v>
      </c>
      <c r="H82" s="93" t="s">
        <v>32</v>
      </c>
      <c r="I82" s="93" t="s">
        <v>32</v>
      </c>
      <c r="J82" s="98"/>
      <c r="K82" s="91">
        <f t="shared" si="3"/>
        <v>0</v>
      </c>
      <c r="L82" s="89">
        <f t="shared" si="4"/>
        <v>27.88</v>
      </c>
      <c r="M82" s="93" t="s">
        <v>45</v>
      </c>
      <c r="N82" s="91">
        <f t="shared" si="5"/>
        <v>100</v>
      </c>
      <c r="O82" s="89">
        <f t="shared" si="6"/>
        <v>26.2905</v>
      </c>
      <c r="P82" s="90" t="str">
        <f t="shared" si="7"/>
        <v>Low</v>
      </c>
      <c r="Q82" s="93" t="s">
        <v>51</v>
      </c>
      <c r="R82" s="100" t="str">
        <f t="shared" si="8"/>
        <v/>
      </c>
    </row>
    <row r="83">
      <c r="A83" s="89">
        <v>80.0</v>
      </c>
      <c r="B83" s="90" t="s">
        <v>510</v>
      </c>
      <c r="C83" s="90" t="s">
        <v>35</v>
      </c>
      <c r="D83" s="91">
        <v>0.19</v>
      </c>
      <c r="E83" s="91">
        <f t="shared" si="1"/>
        <v>99.05</v>
      </c>
      <c r="F83" s="92">
        <v>19.19</v>
      </c>
      <c r="G83" s="91">
        <f t="shared" si="2"/>
        <v>4.05</v>
      </c>
      <c r="H83" s="93" t="s">
        <v>32</v>
      </c>
      <c r="I83" s="93" t="s">
        <v>32</v>
      </c>
      <c r="J83" s="98"/>
      <c r="K83" s="91">
        <f t="shared" si="3"/>
        <v>0</v>
      </c>
      <c r="L83" s="89">
        <f t="shared" si="4"/>
        <v>76</v>
      </c>
      <c r="M83" s="93" t="s">
        <v>45</v>
      </c>
      <c r="N83" s="91">
        <f t="shared" si="5"/>
        <v>100</v>
      </c>
      <c r="O83" s="89">
        <f t="shared" si="6"/>
        <v>39.2325</v>
      </c>
      <c r="P83" s="90" t="str">
        <f t="shared" si="7"/>
        <v>Low</v>
      </c>
      <c r="Q83" s="93" t="s">
        <v>53</v>
      </c>
      <c r="R83" s="100" t="str">
        <f t="shared" si="8"/>
        <v/>
      </c>
    </row>
    <row r="84">
      <c r="A84" s="89">
        <v>81.0</v>
      </c>
      <c r="B84" s="90" t="s">
        <v>270</v>
      </c>
      <c r="C84" s="90" t="s">
        <v>35</v>
      </c>
      <c r="D84" s="91">
        <v>2.65</v>
      </c>
      <c r="E84" s="91">
        <f t="shared" si="1"/>
        <v>86.75</v>
      </c>
      <c r="F84" s="92">
        <v>4.13</v>
      </c>
      <c r="G84" s="91">
        <f t="shared" si="2"/>
        <v>79.35</v>
      </c>
      <c r="H84" s="93" t="s">
        <v>45</v>
      </c>
      <c r="I84" s="93" t="s">
        <v>45</v>
      </c>
      <c r="J84" s="98"/>
      <c r="K84" s="91">
        <f t="shared" si="3"/>
        <v>0</v>
      </c>
      <c r="L84" s="89">
        <f t="shared" si="4"/>
        <v>5.92</v>
      </c>
      <c r="M84" s="93" t="s">
        <v>53</v>
      </c>
      <c r="N84" s="91">
        <f t="shared" si="5"/>
        <v>100</v>
      </c>
      <c r="O84" s="89">
        <f t="shared" si="6"/>
        <v>63.6495</v>
      </c>
      <c r="P84" s="90" t="str">
        <f t="shared" si="7"/>
        <v>High</v>
      </c>
      <c r="Q84" s="93" t="s">
        <v>32</v>
      </c>
      <c r="R84" s="90" t="str">
        <f t="shared" si="8"/>
        <v>YES</v>
      </c>
    </row>
    <row r="85">
      <c r="A85" s="89">
        <v>82.0</v>
      </c>
      <c r="B85" s="90" t="s">
        <v>512</v>
      </c>
      <c r="C85" s="90" t="s">
        <v>35</v>
      </c>
      <c r="D85" s="91">
        <v>10.91</v>
      </c>
      <c r="E85" s="91">
        <f t="shared" si="1"/>
        <v>45.45</v>
      </c>
      <c r="F85" s="92">
        <v>13.43</v>
      </c>
      <c r="G85" s="91">
        <f t="shared" si="2"/>
        <v>32.85</v>
      </c>
      <c r="H85" s="93" t="s">
        <v>32</v>
      </c>
      <c r="I85" s="93" t="s">
        <v>32</v>
      </c>
      <c r="J85" s="98"/>
      <c r="K85" s="91">
        <f t="shared" si="3"/>
        <v>0</v>
      </c>
      <c r="L85" s="89">
        <f t="shared" si="4"/>
        <v>10.08</v>
      </c>
      <c r="M85" s="93" t="s">
        <v>53</v>
      </c>
      <c r="N85" s="91">
        <f t="shared" si="5"/>
        <v>100</v>
      </c>
      <c r="O85" s="89">
        <f t="shared" si="6"/>
        <v>34.8805</v>
      </c>
      <c r="P85" s="90" t="str">
        <f t="shared" si="7"/>
        <v>Low</v>
      </c>
      <c r="Q85" s="93" t="s">
        <v>53</v>
      </c>
      <c r="R85" s="100" t="str">
        <f t="shared" si="8"/>
        <v/>
      </c>
    </row>
    <row r="86">
      <c r="A86" s="89">
        <v>83.0</v>
      </c>
      <c r="B86" s="90" t="s">
        <v>513</v>
      </c>
      <c r="C86" s="90" t="s">
        <v>35</v>
      </c>
      <c r="D86" s="91">
        <v>17.13</v>
      </c>
      <c r="E86" s="91">
        <f t="shared" si="1"/>
        <v>14.35</v>
      </c>
      <c r="F86" s="92">
        <v>8.47</v>
      </c>
      <c r="G86" s="91">
        <f t="shared" si="2"/>
        <v>57.65</v>
      </c>
      <c r="H86" s="93" t="s">
        <v>32</v>
      </c>
      <c r="I86" s="93" t="s">
        <v>32</v>
      </c>
      <c r="J86" s="98"/>
      <c r="K86" s="91">
        <f t="shared" si="3"/>
        <v>0</v>
      </c>
      <c r="L86" s="89">
        <f t="shared" si="4"/>
        <v>34.64</v>
      </c>
      <c r="M86" s="93" t="s">
        <v>51</v>
      </c>
      <c r="N86" s="91">
        <f t="shared" si="5"/>
        <v>100</v>
      </c>
      <c r="O86" s="89">
        <f t="shared" si="6"/>
        <v>42.2765</v>
      </c>
      <c r="P86" s="90" t="str">
        <f t="shared" si="7"/>
        <v>Medium</v>
      </c>
      <c r="Q86" s="93" t="s">
        <v>51</v>
      </c>
      <c r="R86" s="100" t="str">
        <f t="shared" si="8"/>
        <v/>
      </c>
    </row>
    <row r="87">
      <c r="A87" s="89">
        <v>84.0</v>
      </c>
      <c r="B87" s="90" t="s">
        <v>148</v>
      </c>
      <c r="C87" s="90" t="s">
        <v>35</v>
      </c>
      <c r="D87" s="91">
        <v>11.72</v>
      </c>
      <c r="E87" s="91">
        <f t="shared" si="1"/>
        <v>41.4</v>
      </c>
      <c r="F87" s="92">
        <v>0.95</v>
      </c>
      <c r="G87" s="91">
        <f t="shared" si="2"/>
        <v>95.25</v>
      </c>
      <c r="H87" s="93" t="s">
        <v>32</v>
      </c>
      <c r="I87" s="93" t="s">
        <v>45</v>
      </c>
      <c r="J87" s="101" t="s">
        <v>464</v>
      </c>
      <c r="K87" s="91">
        <f t="shared" si="3"/>
        <v>100</v>
      </c>
      <c r="L87" s="89">
        <f t="shared" si="4"/>
        <v>43.08</v>
      </c>
      <c r="M87" s="93" t="s">
        <v>287</v>
      </c>
      <c r="N87" s="91">
        <f t="shared" si="5"/>
        <v>100</v>
      </c>
      <c r="O87" s="89">
        <f t="shared" si="6"/>
        <v>80.4505</v>
      </c>
      <c r="P87" s="90" t="str">
        <f t="shared" si="7"/>
        <v>Very High</v>
      </c>
      <c r="Q87" s="93" t="s">
        <v>51</v>
      </c>
      <c r="R87" s="100" t="str">
        <f t="shared" si="8"/>
        <v/>
      </c>
    </row>
    <row r="88">
      <c r="A88" s="89">
        <v>85.0</v>
      </c>
      <c r="B88" s="90" t="s">
        <v>514</v>
      </c>
      <c r="C88" s="90" t="s">
        <v>35</v>
      </c>
      <c r="D88" s="91">
        <v>3.69</v>
      </c>
      <c r="E88" s="91">
        <f t="shared" si="1"/>
        <v>81.55</v>
      </c>
      <c r="F88" s="92">
        <v>29.12</v>
      </c>
      <c r="G88" s="91">
        <f t="shared" si="2"/>
        <v>0</v>
      </c>
      <c r="H88" s="93" t="s">
        <v>32</v>
      </c>
      <c r="I88" s="93" t="s">
        <v>32</v>
      </c>
      <c r="J88" s="98"/>
      <c r="K88" s="91">
        <f t="shared" si="3"/>
        <v>0</v>
      </c>
      <c r="L88" s="89">
        <f t="shared" si="4"/>
        <v>100</v>
      </c>
      <c r="M88" s="93" t="s">
        <v>51</v>
      </c>
      <c r="N88" s="91">
        <f t="shared" si="5"/>
        <v>100</v>
      </c>
      <c r="O88" s="89">
        <f t="shared" si="6"/>
        <v>36.31</v>
      </c>
      <c r="P88" s="90" t="str">
        <f t="shared" si="7"/>
        <v>Low</v>
      </c>
      <c r="Q88" s="93" t="s">
        <v>51</v>
      </c>
      <c r="R88" s="100" t="str">
        <f t="shared" si="8"/>
        <v/>
      </c>
    </row>
    <row r="89">
      <c r="A89" s="89">
        <v>86.0</v>
      </c>
      <c r="B89" s="90" t="s">
        <v>516</v>
      </c>
      <c r="C89" s="90" t="s">
        <v>35</v>
      </c>
      <c r="D89" s="91">
        <v>5.46</v>
      </c>
      <c r="E89" s="91">
        <f t="shared" si="1"/>
        <v>72.7</v>
      </c>
      <c r="F89" s="92">
        <v>23.02</v>
      </c>
      <c r="G89" s="91">
        <f t="shared" si="2"/>
        <v>0</v>
      </c>
      <c r="H89" s="93" t="s">
        <v>32</v>
      </c>
      <c r="I89" s="93" t="s">
        <v>32</v>
      </c>
      <c r="J89" s="98"/>
      <c r="K89" s="91">
        <f t="shared" si="3"/>
        <v>0</v>
      </c>
      <c r="L89" s="89">
        <f t="shared" si="4"/>
        <v>70.24</v>
      </c>
      <c r="M89" s="93" t="s">
        <v>32</v>
      </c>
      <c r="N89" s="91">
        <f t="shared" si="5"/>
        <v>0</v>
      </c>
      <c r="O89" s="89">
        <f t="shared" si="6"/>
        <v>21.564</v>
      </c>
      <c r="P89" s="90" t="str">
        <f t="shared" si="7"/>
        <v>Low</v>
      </c>
      <c r="Q89" s="93" t="s">
        <v>51</v>
      </c>
      <c r="R89" s="100" t="str">
        <f t="shared" si="8"/>
        <v/>
      </c>
    </row>
    <row r="90">
      <c r="A90" s="89">
        <v>87.0</v>
      </c>
      <c r="B90" s="90" t="s">
        <v>517</v>
      </c>
      <c r="C90" s="90" t="s">
        <v>35</v>
      </c>
      <c r="D90" s="91">
        <v>9.28</v>
      </c>
      <c r="E90" s="91">
        <f t="shared" si="1"/>
        <v>53.6</v>
      </c>
      <c r="F90" s="92">
        <v>13.01</v>
      </c>
      <c r="G90" s="91">
        <f t="shared" si="2"/>
        <v>34.95</v>
      </c>
      <c r="H90" s="93" t="s">
        <v>32</v>
      </c>
      <c r="I90" s="93" t="s">
        <v>32</v>
      </c>
      <c r="J90" s="98"/>
      <c r="K90" s="91">
        <f t="shared" si="3"/>
        <v>0</v>
      </c>
      <c r="L90" s="89">
        <f t="shared" si="4"/>
        <v>14.92</v>
      </c>
      <c r="M90" s="93" t="s">
        <v>32</v>
      </c>
      <c r="N90" s="91">
        <f t="shared" si="5"/>
        <v>0</v>
      </c>
      <c r="O90" s="89">
        <f t="shared" si="6"/>
        <v>27.9395</v>
      </c>
      <c r="P90" s="90" t="str">
        <f t="shared" si="7"/>
        <v>Low</v>
      </c>
      <c r="Q90" s="93" t="s">
        <v>51</v>
      </c>
      <c r="R90" s="100" t="str">
        <f t="shared" si="8"/>
        <v/>
      </c>
    </row>
    <row r="91">
      <c r="A91" s="89">
        <v>88.0</v>
      </c>
      <c r="B91" s="90" t="s">
        <v>518</v>
      </c>
      <c r="C91" s="90" t="s">
        <v>35</v>
      </c>
      <c r="D91" s="91">
        <v>8.28</v>
      </c>
      <c r="E91" s="91">
        <f t="shared" si="1"/>
        <v>58.6</v>
      </c>
      <c r="F91" s="92">
        <v>17.27</v>
      </c>
      <c r="G91" s="91">
        <f t="shared" si="2"/>
        <v>13.65</v>
      </c>
      <c r="H91" s="93" t="s">
        <v>32</v>
      </c>
      <c r="I91" s="93" t="s">
        <v>32</v>
      </c>
      <c r="J91" s="98"/>
      <c r="K91" s="91">
        <f t="shared" si="3"/>
        <v>0</v>
      </c>
      <c r="L91" s="89">
        <f t="shared" si="4"/>
        <v>35.96</v>
      </c>
      <c r="M91" s="93" t="s">
        <v>32</v>
      </c>
      <c r="N91" s="91">
        <f t="shared" si="5"/>
        <v>0</v>
      </c>
      <c r="O91" s="89">
        <f t="shared" si="6"/>
        <v>21.4585</v>
      </c>
      <c r="P91" s="90" t="str">
        <f t="shared" si="7"/>
        <v>Low</v>
      </c>
      <c r="Q91" s="93" t="s">
        <v>45</v>
      </c>
      <c r="R91" s="100" t="str">
        <f t="shared" si="8"/>
        <v/>
      </c>
    </row>
    <row r="92">
      <c r="A92" s="89">
        <v>89.0</v>
      </c>
      <c r="B92" s="90" t="s">
        <v>520</v>
      </c>
      <c r="C92" s="90" t="s">
        <v>35</v>
      </c>
      <c r="D92" s="91">
        <v>8.39</v>
      </c>
      <c r="E92" s="91">
        <f t="shared" si="1"/>
        <v>58.05</v>
      </c>
      <c r="F92" s="92">
        <v>28.41</v>
      </c>
      <c r="G92" s="91">
        <f t="shared" si="2"/>
        <v>0</v>
      </c>
      <c r="H92" s="93" t="s">
        <v>32</v>
      </c>
      <c r="I92" s="93" t="s">
        <v>32</v>
      </c>
      <c r="J92" s="98"/>
      <c r="K92" s="91">
        <f t="shared" si="3"/>
        <v>0</v>
      </c>
      <c r="L92" s="89">
        <f t="shared" si="4"/>
        <v>80.08</v>
      </c>
      <c r="M92" s="93" t="s">
        <v>287</v>
      </c>
      <c r="N92" s="91">
        <f t="shared" si="5"/>
        <v>100</v>
      </c>
      <c r="O92" s="89">
        <f t="shared" si="6"/>
        <v>29.618</v>
      </c>
      <c r="P92" s="90" t="str">
        <f t="shared" si="7"/>
        <v>Low</v>
      </c>
      <c r="Q92" s="93" t="s">
        <v>51</v>
      </c>
      <c r="R92" s="100" t="str">
        <f t="shared" si="8"/>
        <v/>
      </c>
    </row>
    <row r="93">
      <c r="A93" s="89">
        <v>90.0</v>
      </c>
      <c r="B93" s="90" t="s">
        <v>522</v>
      </c>
      <c r="C93" s="90" t="s">
        <v>35</v>
      </c>
      <c r="D93" s="91">
        <v>7.63</v>
      </c>
      <c r="E93" s="91">
        <f t="shared" si="1"/>
        <v>61.85</v>
      </c>
      <c r="F93" s="92">
        <v>7.69</v>
      </c>
      <c r="G93" s="91">
        <f t="shared" si="2"/>
        <v>61.55</v>
      </c>
      <c r="H93" s="93" t="s">
        <v>32</v>
      </c>
      <c r="I93" s="93" t="s">
        <v>32</v>
      </c>
      <c r="J93" s="98"/>
      <c r="K93" s="91">
        <f t="shared" si="3"/>
        <v>0</v>
      </c>
      <c r="L93" s="89">
        <f t="shared" si="4"/>
        <v>0.24</v>
      </c>
      <c r="M93" s="93" t="s">
        <v>287</v>
      </c>
      <c r="N93" s="91">
        <f t="shared" si="5"/>
        <v>100</v>
      </c>
      <c r="O93" s="89">
        <f t="shared" si="6"/>
        <v>50.0915</v>
      </c>
      <c r="P93" s="90" t="str">
        <f t="shared" si="7"/>
        <v>Medium</v>
      </c>
      <c r="Q93" s="93" t="s">
        <v>51</v>
      </c>
      <c r="R93" s="100" t="str">
        <f t="shared" si="8"/>
        <v/>
      </c>
    </row>
    <row r="94">
      <c r="A94" s="89">
        <v>91.0</v>
      </c>
      <c r="B94" s="90" t="s">
        <v>523</v>
      </c>
      <c r="C94" s="90" t="s">
        <v>35</v>
      </c>
      <c r="D94" s="91">
        <v>0.43</v>
      </c>
      <c r="E94" s="91">
        <f t="shared" si="1"/>
        <v>97.85</v>
      </c>
      <c r="F94" s="92">
        <v>33.89</v>
      </c>
      <c r="G94" s="91">
        <f t="shared" si="2"/>
        <v>0</v>
      </c>
      <c r="H94" s="93" t="s">
        <v>32</v>
      </c>
      <c r="I94" s="93" t="s">
        <v>32</v>
      </c>
      <c r="J94" s="98"/>
      <c r="K94" s="91">
        <f t="shared" si="3"/>
        <v>0</v>
      </c>
      <c r="L94" s="89">
        <f t="shared" si="4"/>
        <v>100</v>
      </c>
      <c r="M94" s="93" t="s">
        <v>51</v>
      </c>
      <c r="N94" s="91">
        <f t="shared" si="5"/>
        <v>100</v>
      </c>
      <c r="O94" s="89">
        <f t="shared" si="6"/>
        <v>39.57</v>
      </c>
      <c r="P94" s="90" t="str">
        <f t="shared" si="7"/>
        <v>Low</v>
      </c>
      <c r="Q94" s="93" t="s">
        <v>51</v>
      </c>
      <c r="R94" s="100" t="str">
        <f t="shared" si="8"/>
        <v/>
      </c>
    </row>
    <row r="95">
      <c r="A95" s="89">
        <v>92.0</v>
      </c>
      <c r="B95" s="90" t="s">
        <v>524</v>
      </c>
      <c r="C95" s="90" t="s">
        <v>35</v>
      </c>
      <c r="D95" s="91">
        <v>12.3</v>
      </c>
      <c r="E95" s="91">
        <f t="shared" si="1"/>
        <v>38.5</v>
      </c>
      <c r="F95" s="92">
        <v>39.37</v>
      </c>
      <c r="G95" s="91">
        <f t="shared" si="2"/>
        <v>0</v>
      </c>
      <c r="H95" s="93" t="s">
        <v>32</v>
      </c>
      <c r="I95" s="93" t="s">
        <v>32</v>
      </c>
      <c r="J95" s="98"/>
      <c r="K95" s="91">
        <f t="shared" si="3"/>
        <v>0</v>
      </c>
      <c r="L95" s="89">
        <f t="shared" si="4"/>
        <v>100</v>
      </c>
      <c r="M95" s="93" t="s">
        <v>53</v>
      </c>
      <c r="N95" s="91">
        <f t="shared" si="5"/>
        <v>100</v>
      </c>
      <c r="O95" s="89">
        <f t="shared" si="6"/>
        <v>27.7</v>
      </c>
      <c r="P95" s="90" t="str">
        <f t="shared" si="7"/>
        <v>Low</v>
      </c>
      <c r="Q95" s="93" t="s">
        <v>45</v>
      </c>
      <c r="R95" s="100" t="str">
        <f t="shared" si="8"/>
        <v/>
      </c>
    </row>
    <row r="96">
      <c r="A96" s="89">
        <v>93.0</v>
      </c>
      <c r="B96" s="90" t="s">
        <v>526</v>
      </c>
      <c r="C96" s="90" t="s">
        <v>35</v>
      </c>
      <c r="D96" s="91">
        <v>8.56</v>
      </c>
      <c r="E96" s="91">
        <f t="shared" si="1"/>
        <v>57.2</v>
      </c>
      <c r="F96" s="92">
        <v>28.81</v>
      </c>
      <c r="G96" s="91">
        <f t="shared" si="2"/>
        <v>0</v>
      </c>
      <c r="H96" s="93" t="s">
        <v>32</v>
      </c>
      <c r="I96" s="93" t="s">
        <v>32</v>
      </c>
      <c r="J96" s="98"/>
      <c r="K96" s="91">
        <f t="shared" si="3"/>
        <v>0</v>
      </c>
      <c r="L96" s="89">
        <f t="shared" si="4"/>
        <v>81</v>
      </c>
      <c r="M96" s="93" t="s">
        <v>51</v>
      </c>
      <c r="N96" s="91">
        <f t="shared" si="5"/>
        <v>100</v>
      </c>
      <c r="O96" s="89">
        <f t="shared" si="6"/>
        <v>29.54</v>
      </c>
      <c r="P96" s="90" t="str">
        <f t="shared" si="7"/>
        <v>Low</v>
      </c>
      <c r="Q96" s="93" t="s">
        <v>51</v>
      </c>
      <c r="R96" s="100" t="str">
        <f t="shared" si="8"/>
        <v/>
      </c>
    </row>
    <row r="97">
      <c r="A97" s="89">
        <v>94.0</v>
      </c>
      <c r="B97" s="90" t="s">
        <v>527</v>
      </c>
      <c r="C97" s="90" t="s">
        <v>35</v>
      </c>
      <c r="D97" s="91">
        <v>15.09</v>
      </c>
      <c r="E97" s="91">
        <f t="shared" si="1"/>
        <v>24.55</v>
      </c>
      <c r="F97" s="92">
        <v>11.68</v>
      </c>
      <c r="G97" s="91">
        <f t="shared" si="2"/>
        <v>41.6</v>
      </c>
      <c r="H97" s="93" t="s">
        <v>32</v>
      </c>
      <c r="I97" s="93" t="s">
        <v>32</v>
      </c>
      <c r="J97" s="98"/>
      <c r="K97" s="91">
        <f t="shared" si="3"/>
        <v>0</v>
      </c>
      <c r="L97" s="89">
        <f t="shared" si="4"/>
        <v>13.64</v>
      </c>
      <c r="M97" s="93" t="s">
        <v>51</v>
      </c>
      <c r="N97" s="91">
        <f t="shared" si="5"/>
        <v>100</v>
      </c>
      <c r="O97" s="89">
        <f t="shared" si="6"/>
        <v>34.994</v>
      </c>
      <c r="P97" s="90" t="str">
        <f t="shared" si="7"/>
        <v>Low</v>
      </c>
      <c r="Q97" s="93" t="s">
        <v>51</v>
      </c>
      <c r="R97" s="100" t="str">
        <f t="shared" si="8"/>
        <v/>
      </c>
    </row>
    <row r="98">
      <c r="A98" s="89">
        <v>95.0</v>
      </c>
      <c r="B98" s="90" t="s">
        <v>528</v>
      </c>
      <c r="C98" s="90" t="s">
        <v>35</v>
      </c>
      <c r="D98" s="91">
        <v>10.73</v>
      </c>
      <c r="E98" s="91">
        <f t="shared" si="1"/>
        <v>46.35</v>
      </c>
      <c r="F98" s="92">
        <v>25.98</v>
      </c>
      <c r="G98" s="91">
        <f t="shared" si="2"/>
        <v>0</v>
      </c>
      <c r="H98" s="93" t="s">
        <v>32</v>
      </c>
      <c r="I98" s="93" t="s">
        <v>32</v>
      </c>
      <c r="J98" s="98"/>
      <c r="K98" s="91">
        <f t="shared" si="3"/>
        <v>0</v>
      </c>
      <c r="L98" s="89">
        <f t="shared" si="4"/>
        <v>61</v>
      </c>
      <c r="M98" s="93" t="s">
        <v>32</v>
      </c>
      <c r="N98" s="91">
        <f t="shared" si="5"/>
        <v>0</v>
      </c>
      <c r="O98" s="89">
        <f t="shared" si="6"/>
        <v>15.37</v>
      </c>
      <c r="P98" s="90" t="str">
        <f t="shared" si="7"/>
        <v>Low</v>
      </c>
      <c r="Q98" s="93" t="s">
        <v>287</v>
      </c>
      <c r="R98" s="100" t="str">
        <f t="shared" si="8"/>
        <v/>
      </c>
    </row>
    <row r="99">
      <c r="A99" s="89">
        <v>96.0</v>
      </c>
      <c r="B99" s="90" t="s">
        <v>529</v>
      </c>
      <c r="C99" s="90" t="s">
        <v>35</v>
      </c>
      <c r="D99" s="91">
        <v>11.83</v>
      </c>
      <c r="E99" s="91">
        <f t="shared" si="1"/>
        <v>40.85</v>
      </c>
      <c r="F99" s="92">
        <v>36.68</v>
      </c>
      <c r="G99" s="91">
        <f t="shared" si="2"/>
        <v>0</v>
      </c>
      <c r="H99" s="93" t="s">
        <v>32</v>
      </c>
      <c r="I99" s="93" t="s">
        <v>32</v>
      </c>
      <c r="J99" s="98"/>
      <c r="K99" s="91">
        <f t="shared" si="3"/>
        <v>0</v>
      </c>
      <c r="L99" s="89">
        <f t="shared" si="4"/>
        <v>99.4</v>
      </c>
      <c r="M99" s="93" t="s">
        <v>32</v>
      </c>
      <c r="N99" s="91">
        <f t="shared" si="5"/>
        <v>0</v>
      </c>
      <c r="O99" s="89">
        <f t="shared" si="6"/>
        <v>18.11</v>
      </c>
      <c r="P99" s="90" t="str">
        <f t="shared" si="7"/>
        <v>Low</v>
      </c>
      <c r="Q99" s="93" t="s">
        <v>45</v>
      </c>
      <c r="R99" s="100" t="str">
        <f t="shared" si="8"/>
        <v/>
      </c>
    </row>
    <row r="100">
      <c r="A100" s="89">
        <v>97.0</v>
      </c>
      <c r="B100" s="90" t="s">
        <v>531</v>
      </c>
      <c r="C100" s="90" t="s">
        <v>35</v>
      </c>
      <c r="D100" s="91">
        <v>5.8</v>
      </c>
      <c r="E100" s="91">
        <f t="shared" si="1"/>
        <v>71</v>
      </c>
      <c r="F100" s="92">
        <v>27.19</v>
      </c>
      <c r="G100" s="91">
        <f t="shared" si="2"/>
        <v>0</v>
      </c>
      <c r="H100" s="93" t="s">
        <v>32</v>
      </c>
      <c r="I100" s="93" t="s">
        <v>32</v>
      </c>
      <c r="J100" s="98"/>
      <c r="K100" s="91">
        <f t="shared" si="3"/>
        <v>0</v>
      </c>
      <c r="L100" s="89">
        <f t="shared" si="4"/>
        <v>85.56</v>
      </c>
      <c r="M100" s="93" t="s">
        <v>32</v>
      </c>
      <c r="N100" s="91">
        <f t="shared" si="5"/>
        <v>0</v>
      </c>
      <c r="O100" s="89">
        <f t="shared" si="6"/>
        <v>22.756</v>
      </c>
      <c r="P100" s="90" t="str">
        <f t="shared" si="7"/>
        <v>Low</v>
      </c>
      <c r="Q100" s="93" t="s">
        <v>45</v>
      </c>
      <c r="R100" s="100" t="str">
        <f t="shared" si="8"/>
        <v/>
      </c>
    </row>
    <row r="101">
      <c r="A101" s="89">
        <v>98.0</v>
      </c>
      <c r="B101" s="90" t="s">
        <v>532</v>
      </c>
      <c r="C101" s="90" t="s">
        <v>35</v>
      </c>
      <c r="D101" s="91">
        <v>0.79</v>
      </c>
      <c r="E101" s="91">
        <f t="shared" si="1"/>
        <v>96.05</v>
      </c>
      <c r="F101" s="92">
        <v>32.41</v>
      </c>
      <c r="G101" s="91">
        <f t="shared" si="2"/>
        <v>0</v>
      </c>
      <c r="H101" s="93" t="s">
        <v>32</v>
      </c>
      <c r="I101" s="93" t="s">
        <v>32</v>
      </c>
      <c r="J101" s="98"/>
      <c r="K101" s="91">
        <f t="shared" si="3"/>
        <v>0</v>
      </c>
      <c r="L101" s="89">
        <f t="shared" si="4"/>
        <v>100</v>
      </c>
      <c r="M101" s="93" t="s">
        <v>51</v>
      </c>
      <c r="N101" s="91">
        <f t="shared" si="5"/>
        <v>100</v>
      </c>
      <c r="O101" s="89">
        <f t="shared" si="6"/>
        <v>39.21</v>
      </c>
      <c r="P101" s="90" t="str">
        <f t="shared" si="7"/>
        <v>Low</v>
      </c>
      <c r="Q101" s="93" t="s">
        <v>51</v>
      </c>
      <c r="R101" s="100" t="str">
        <f t="shared" si="8"/>
        <v/>
      </c>
    </row>
    <row r="102">
      <c r="A102" s="89">
        <v>99.0</v>
      </c>
      <c r="B102" s="90" t="s">
        <v>533</v>
      </c>
      <c r="C102" s="90" t="s">
        <v>35</v>
      </c>
      <c r="D102" s="91">
        <v>19.54</v>
      </c>
      <c r="E102" s="91">
        <f t="shared" si="1"/>
        <v>2.3</v>
      </c>
      <c r="F102" s="92">
        <v>19.4</v>
      </c>
      <c r="G102" s="91">
        <f t="shared" si="2"/>
        <v>3</v>
      </c>
      <c r="H102" s="93" t="s">
        <v>32</v>
      </c>
      <c r="I102" s="93" t="s">
        <v>32</v>
      </c>
      <c r="J102" s="98"/>
      <c r="K102" s="91">
        <f t="shared" si="3"/>
        <v>0</v>
      </c>
      <c r="L102" s="89">
        <f t="shared" si="4"/>
        <v>0.56</v>
      </c>
      <c r="M102" s="93" t="s">
        <v>32</v>
      </c>
      <c r="N102" s="91">
        <f t="shared" si="5"/>
        <v>0</v>
      </c>
      <c r="O102" s="89">
        <f t="shared" si="6"/>
        <v>1.866</v>
      </c>
      <c r="P102" s="90" t="str">
        <f t="shared" si="7"/>
        <v>Low</v>
      </c>
      <c r="Q102" s="93" t="s">
        <v>287</v>
      </c>
      <c r="R102" s="100" t="str">
        <f t="shared" si="8"/>
        <v/>
      </c>
    </row>
    <row r="103">
      <c r="A103" s="89">
        <v>100.0</v>
      </c>
      <c r="B103" s="90" t="s">
        <v>534</v>
      </c>
      <c r="C103" s="90" t="s">
        <v>35</v>
      </c>
      <c r="D103" s="91">
        <v>1.14</v>
      </c>
      <c r="E103" s="91">
        <f t="shared" si="1"/>
        <v>94.3</v>
      </c>
      <c r="F103" s="92">
        <v>35.11</v>
      </c>
      <c r="G103" s="91">
        <f t="shared" si="2"/>
        <v>0</v>
      </c>
      <c r="H103" s="93" t="s">
        <v>32</v>
      </c>
      <c r="I103" s="93" t="s">
        <v>32</v>
      </c>
      <c r="J103" s="98"/>
      <c r="K103" s="91">
        <f t="shared" si="3"/>
        <v>0</v>
      </c>
      <c r="L103" s="89">
        <f t="shared" si="4"/>
        <v>100</v>
      </c>
      <c r="M103" s="93" t="s">
        <v>32</v>
      </c>
      <c r="N103" s="91">
        <f t="shared" si="5"/>
        <v>0</v>
      </c>
      <c r="O103" s="89">
        <f t="shared" si="6"/>
        <v>28.86</v>
      </c>
      <c r="P103" s="90" t="str">
        <f t="shared" si="7"/>
        <v>Low</v>
      </c>
      <c r="Q103" s="93" t="s">
        <v>51</v>
      </c>
      <c r="R103" s="100" t="str">
        <f t="shared" si="8"/>
        <v/>
      </c>
    </row>
    <row r="104">
      <c r="A104" s="89">
        <v>101.0</v>
      </c>
      <c r="B104" s="90" t="s">
        <v>536</v>
      </c>
      <c r="C104" s="90" t="s">
        <v>35</v>
      </c>
      <c r="D104" s="91">
        <v>19.72</v>
      </c>
      <c r="E104" s="91">
        <f t="shared" si="1"/>
        <v>1.4</v>
      </c>
      <c r="F104" s="92">
        <v>49.14</v>
      </c>
      <c r="G104" s="91">
        <f t="shared" si="2"/>
        <v>0</v>
      </c>
      <c r="H104" s="93" t="s">
        <v>32</v>
      </c>
      <c r="I104" s="93" t="s">
        <v>32</v>
      </c>
      <c r="J104" s="98"/>
      <c r="K104" s="91">
        <f t="shared" si="3"/>
        <v>0</v>
      </c>
      <c r="L104" s="89">
        <f t="shared" si="4"/>
        <v>100</v>
      </c>
      <c r="M104" s="93" t="s">
        <v>32</v>
      </c>
      <c r="N104" s="91">
        <f t="shared" si="5"/>
        <v>0</v>
      </c>
      <c r="O104" s="89">
        <f t="shared" si="6"/>
        <v>10.28</v>
      </c>
      <c r="P104" s="90" t="str">
        <f t="shared" si="7"/>
        <v>Low</v>
      </c>
      <c r="Q104" s="93" t="s">
        <v>45</v>
      </c>
      <c r="R104" s="100" t="str">
        <f t="shared" si="8"/>
        <v/>
      </c>
    </row>
    <row r="105">
      <c r="A105" s="89">
        <v>102.0</v>
      </c>
      <c r="B105" s="90" t="s">
        <v>537</v>
      </c>
      <c r="C105" s="90" t="s">
        <v>35</v>
      </c>
      <c r="D105" s="91">
        <v>16.43</v>
      </c>
      <c r="E105" s="91">
        <f t="shared" si="1"/>
        <v>17.85</v>
      </c>
      <c r="F105" s="92">
        <v>30.19</v>
      </c>
      <c r="G105" s="91">
        <f t="shared" si="2"/>
        <v>0</v>
      </c>
      <c r="H105" s="93" t="s">
        <v>32</v>
      </c>
      <c r="I105" s="93" t="s">
        <v>32</v>
      </c>
      <c r="J105" s="98"/>
      <c r="K105" s="91">
        <f t="shared" si="3"/>
        <v>0</v>
      </c>
      <c r="L105" s="89">
        <f t="shared" si="4"/>
        <v>55.04</v>
      </c>
      <c r="M105" s="93" t="s">
        <v>32</v>
      </c>
      <c r="N105" s="91">
        <f t="shared" si="5"/>
        <v>0</v>
      </c>
      <c r="O105" s="89">
        <f t="shared" si="6"/>
        <v>9.074</v>
      </c>
      <c r="P105" s="90" t="str">
        <f t="shared" si="7"/>
        <v>Low</v>
      </c>
      <c r="Q105" s="93" t="s">
        <v>45</v>
      </c>
      <c r="R105" s="100" t="str">
        <f t="shared" si="8"/>
        <v/>
      </c>
    </row>
    <row r="106">
      <c r="A106" s="89">
        <v>103.0</v>
      </c>
      <c r="B106" s="90" t="s">
        <v>538</v>
      </c>
      <c r="C106" s="90" t="s">
        <v>35</v>
      </c>
      <c r="D106" s="91">
        <v>1.82</v>
      </c>
      <c r="E106" s="91">
        <f t="shared" si="1"/>
        <v>90.9</v>
      </c>
      <c r="F106" s="92">
        <v>28.79</v>
      </c>
      <c r="G106" s="91">
        <f t="shared" si="2"/>
        <v>0</v>
      </c>
      <c r="H106" s="93" t="s">
        <v>45</v>
      </c>
      <c r="I106" s="93" t="s">
        <v>32</v>
      </c>
      <c r="J106" s="101" t="s">
        <v>539</v>
      </c>
      <c r="K106" s="91">
        <f t="shared" si="3"/>
        <v>100</v>
      </c>
      <c r="L106" s="89">
        <f t="shared" si="4"/>
        <v>100</v>
      </c>
      <c r="M106" s="93" t="s">
        <v>32</v>
      </c>
      <c r="N106" s="91">
        <f t="shared" si="5"/>
        <v>0</v>
      </c>
      <c r="O106" s="89">
        <f t="shared" si="6"/>
        <v>43.18</v>
      </c>
      <c r="P106" s="90" t="str">
        <f t="shared" si="7"/>
        <v>Medium</v>
      </c>
      <c r="Q106" s="93" t="s">
        <v>51</v>
      </c>
      <c r="R106" s="100" t="str">
        <f t="shared" si="8"/>
        <v/>
      </c>
    </row>
    <row r="107">
      <c r="A107" s="89">
        <v>104.0</v>
      </c>
      <c r="B107" s="90" t="s">
        <v>540</v>
      </c>
      <c r="C107" s="90" t="s">
        <v>35</v>
      </c>
      <c r="D107" s="91">
        <v>21.69</v>
      </c>
      <c r="E107" s="91">
        <f t="shared" si="1"/>
        <v>0</v>
      </c>
      <c r="F107" s="92">
        <v>26.47</v>
      </c>
      <c r="G107" s="91">
        <f t="shared" si="2"/>
        <v>0</v>
      </c>
      <c r="H107" s="93" t="s">
        <v>32</v>
      </c>
      <c r="I107" s="93" t="s">
        <v>32</v>
      </c>
      <c r="J107" s="98"/>
      <c r="K107" s="91">
        <f t="shared" si="3"/>
        <v>0</v>
      </c>
      <c r="L107" s="89">
        <f t="shared" si="4"/>
        <v>19.12</v>
      </c>
      <c r="M107" s="93" t="s">
        <v>32</v>
      </c>
      <c r="N107" s="91">
        <f t="shared" si="5"/>
        <v>0</v>
      </c>
      <c r="O107" s="89">
        <f t="shared" si="6"/>
        <v>1.912</v>
      </c>
      <c r="P107" s="90" t="str">
        <f t="shared" si="7"/>
        <v>Low</v>
      </c>
      <c r="Q107" s="93" t="s">
        <v>287</v>
      </c>
      <c r="R107" s="100" t="str">
        <f t="shared" si="8"/>
        <v/>
      </c>
    </row>
    <row r="108">
      <c r="A108" s="89">
        <v>105.0</v>
      </c>
      <c r="B108" s="90" t="s">
        <v>542</v>
      </c>
      <c r="C108" s="90" t="s">
        <v>35</v>
      </c>
      <c r="D108" s="91">
        <v>10.11</v>
      </c>
      <c r="E108" s="91">
        <f t="shared" si="1"/>
        <v>49.45</v>
      </c>
      <c r="F108" s="92">
        <v>17.3</v>
      </c>
      <c r="G108" s="91">
        <f t="shared" si="2"/>
        <v>13.5</v>
      </c>
      <c r="H108" s="93" t="s">
        <v>32</v>
      </c>
      <c r="I108" s="93" t="s">
        <v>32</v>
      </c>
      <c r="J108" s="98"/>
      <c r="K108" s="91">
        <f t="shared" si="3"/>
        <v>0</v>
      </c>
      <c r="L108" s="89">
        <f t="shared" si="4"/>
        <v>28.76</v>
      </c>
      <c r="M108" s="93" t="s">
        <v>45</v>
      </c>
      <c r="N108" s="91">
        <f t="shared" si="5"/>
        <v>100</v>
      </c>
      <c r="O108" s="89">
        <f t="shared" si="6"/>
        <v>28.841</v>
      </c>
      <c r="P108" s="90" t="str">
        <f t="shared" si="7"/>
        <v>Low</v>
      </c>
      <c r="Q108" s="93" t="s">
        <v>45</v>
      </c>
      <c r="R108" s="100" t="str">
        <f t="shared" si="8"/>
        <v/>
      </c>
    </row>
    <row r="109">
      <c r="A109" s="89">
        <v>106.0</v>
      </c>
      <c r="B109" s="90" t="s">
        <v>543</v>
      </c>
      <c r="C109" s="90" t="s">
        <v>35</v>
      </c>
      <c r="D109" s="91">
        <v>9.09</v>
      </c>
      <c r="E109" s="91">
        <f t="shared" si="1"/>
        <v>54.55</v>
      </c>
      <c r="F109" s="92">
        <v>4.67</v>
      </c>
      <c r="G109" s="91">
        <f t="shared" si="2"/>
        <v>76.65</v>
      </c>
      <c r="H109" s="93" t="s">
        <v>32</v>
      </c>
      <c r="I109" s="93" t="s">
        <v>32</v>
      </c>
      <c r="J109" s="98"/>
      <c r="K109" s="91">
        <f t="shared" si="3"/>
        <v>0</v>
      </c>
      <c r="L109" s="89">
        <f t="shared" si="4"/>
        <v>17.68</v>
      </c>
      <c r="M109" s="93" t="s">
        <v>32</v>
      </c>
      <c r="N109" s="91">
        <f t="shared" si="5"/>
        <v>0</v>
      </c>
      <c r="O109" s="89">
        <f t="shared" si="6"/>
        <v>47.1705</v>
      </c>
      <c r="P109" s="90" t="str">
        <f t="shared" si="7"/>
        <v>Medium</v>
      </c>
      <c r="Q109" s="93" t="s">
        <v>287</v>
      </c>
      <c r="R109" s="100" t="str">
        <f t="shared" si="8"/>
        <v/>
      </c>
    </row>
    <row r="110">
      <c r="A110" s="89">
        <v>107.0</v>
      </c>
      <c r="B110" s="90" t="s">
        <v>544</v>
      </c>
      <c r="C110" s="90" t="s">
        <v>35</v>
      </c>
      <c r="D110" s="91">
        <v>2.2</v>
      </c>
      <c r="E110" s="91">
        <f t="shared" si="1"/>
        <v>89</v>
      </c>
      <c r="F110" s="92">
        <v>45.59</v>
      </c>
      <c r="G110" s="91">
        <f t="shared" si="2"/>
        <v>0</v>
      </c>
      <c r="H110" s="93" t="s">
        <v>32</v>
      </c>
      <c r="I110" s="93" t="s">
        <v>32</v>
      </c>
      <c r="J110" s="98"/>
      <c r="K110" s="91">
        <f t="shared" si="3"/>
        <v>0</v>
      </c>
      <c r="L110" s="89">
        <f t="shared" si="4"/>
        <v>100</v>
      </c>
      <c r="M110" s="93" t="s">
        <v>32</v>
      </c>
      <c r="N110" s="91">
        <f t="shared" si="5"/>
        <v>0</v>
      </c>
      <c r="O110" s="89">
        <f t="shared" si="6"/>
        <v>27.8</v>
      </c>
      <c r="P110" s="90" t="str">
        <f t="shared" si="7"/>
        <v>Low</v>
      </c>
      <c r="Q110" s="93" t="s">
        <v>45</v>
      </c>
      <c r="R110" s="100" t="str">
        <f t="shared" si="8"/>
        <v/>
      </c>
    </row>
    <row r="111">
      <c r="A111" s="89">
        <v>108.0</v>
      </c>
      <c r="B111" s="90" t="s">
        <v>545</v>
      </c>
      <c r="C111" s="90" t="s">
        <v>35</v>
      </c>
      <c r="D111" s="91">
        <v>21.7</v>
      </c>
      <c r="E111" s="91">
        <f t="shared" si="1"/>
        <v>0</v>
      </c>
      <c r="F111" s="92">
        <v>25.29</v>
      </c>
      <c r="G111" s="91">
        <f t="shared" si="2"/>
        <v>0</v>
      </c>
      <c r="H111" s="93" t="s">
        <v>32</v>
      </c>
      <c r="I111" s="93" t="s">
        <v>32</v>
      </c>
      <c r="J111" s="98"/>
      <c r="K111" s="91">
        <f t="shared" si="3"/>
        <v>0</v>
      </c>
      <c r="L111" s="89">
        <f t="shared" si="4"/>
        <v>14.36</v>
      </c>
      <c r="M111" s="93" t="s">
        <v>32</v>
      </c>
      <c r="N111" s="91">
        <f t="shared" si="5"/>
        <v>0</v>
      </c>
      <c r="O111" s="89">
        <f t="shared" si="6"/>
        <v>1.436</v>
      </c>
      <c r="P111" s="90" t="str">
        <f t="shared" si="7"/>
        <v>Low</v>
      </c>
      <c r="Q111" s="93" t="s">
        <v>45</v>
      </c>
      <c r="R111" s="100" t="str">
        <f t="shared" si="8"/>
        <v/>
      </c>
    </row>
    <row r="112">
      <c r="A112" s="89">
        <v>109.0</v>
      </c>
      <c r="B112" s="90" t="s">
        <v>547</v>
      </c>
      <c r="C112" s="90" t="s">
        <v>35</v>
      </c>
      <c r="D112" s="91">
        <v>13.46</v>
      </c>
      <c r="E112" s="91">
        <f t="shared" si="1"/>
        <v>32.7</v>
      </c>
      <c r="F112" s="92">
        <v>37.2</v>
      </c>
      <c r="G112" s="91">
        <f t="shared" si="2"/>
        <v>0</v>
      </c>
      <c r="H112" s="93" t="s">
        <v>32</v>
      </c>
      <c r="I112" s="93" t="s">
        <v>32</v>
      </c>
      <c r="J112" s="98"/>
      <c r="K112" s="91">
        <f t="shared" si="3"/>
        <v>0</v>
      </c>
      <c r="L112" s="89">
        <f t="shared" si="4"/>
        <v>94.96</v>
      </c>
      <c r="M112" s="93" t="s">
        <v>45</v>
      </c>
      <c r="N112" s="91">
        <f t="shared" si="5"/>
        <v>100</v>
      </c>
      <c r="O112" s="89">
        <f t="shared" si="6"/>
        <v>26.036</v>
      </c>
      <c r="P112" s="90" t="str">
        <f t="shared" si="7"/>
        <v>Low</v>
      </c>
      <c r="Q112" s="93" t="s">
        <v>51</v>
      </c>
      <c r="R112" s="100" t="str">
        <f t="shared" si="8"/>
        <v/>
      </c>
    </row>
    <row r="113">
      <c r="A113" s="89">
        <v>110.0</v>
      </c>
      <c r="B113" s="90" t="s">
        <v>548</v>
      </c>
      <c r="C113" s="90" t="s">
        <v>35</v>
      </c>
      <c r="D113" s="91">
        <v>18.69</v>
      </c>
      <c r="E113" s="91">
        <f t="shared" si="1"/>
        <v>6.55</v>
      </c>
      <c r="F113" s="92">
        <v>36.26</v>
      </c>
      <c r="G113" s="91">
        <f t="shared" si="2"/>
        <v>0</v>
      </c>
      <c r="H113" s="93" t="s">
        <v>32</v>
      </c>
      <c r="I113" s="93" t="s">
        <v>32</v>
      </c>
      <c r="J113" s="98"/>
      <c r="K113" s="91">
        <f t="shared" si="3"/>
        <v>0</v>
      </c>
      <c r="L113" s="89">
        <f t="shared" si="4"/>
        <v>70.28</v>
      </c>
      <c r="M113" s="93" t="s">
        <v>32</v>
      </c>
      <c r="N113" s="91">
        <f t="shared" si="5"/>
        <v>0</v>
      </c>
      <c r="O113" s="89">
        <f t="shared" si="6"/>
        <v>8.338</v>
      </c>
      <c r="P113" s="90" t="str">
        <f t="shared" si="7"/>
        <v>Low</v>
      </c>
      <c r="Q113" s="93" t="s">
        <v>45</v>
      </c>
      <c r="R113" s="100" t="str">
        <f t="shared" si="8"/>
        <v/>
      </c>
    </row>
    <row r="114">
      <c r="A114" s="89">
        <v>111.0</v>
      </c>
      <c r="B114" s="90" t="s">
        <v>549</v>
      </c>
      <c r="C114" s="90" t="s">
        <v>35</v>
      </c>
      <c r="D114" s="91">
        <v>25.63</v>
      </c>
      <c r="E114" s="91">
        <f t="shared" si="1"/>
        <v>0</v>
      </c>
      <c r="F114" s="92">
        <v>16.56</v>
      </c>
      <c r="G114" s="91">
        <f t="shared" si="2"/>
        <v>17.2</v>
      </c>
      <c r="H114" s="93" t="s">
        <v>32</v>
      </c>
      <c r="I114" s="93" t="s">
        <v>32</v>
      </c>
      <c r="J114" s="98"/>
      <c r="K114" s="91">
        <f t="shared" si="3"/>
        <v>0</v>
      </c>
      <c r="L114" s="89">
        <f t="shared" si="4"/>
        <v>36.28</v>
      </c>
      <c r="M114" s="93" t="s">
        <v>53</v>
      </c>
      <c r="N114" s="91">
        <f t="shared" si="5"/>
        <v>100</v>
      </c>
      <c r="O114" s="89">
        <f t="shared" si="6"/>
        <v>21.368</v>
      </c>
      <c r="P114" s="90" t="str">
        <f t="shared" si="7"/>
        <v>Low</v>
      </c>
      <c r="Q114" s="93" t="s">
        <v>53</v>
      </c>
      <c r="R114" s="100" t="str">
        <f t="shared" si="8"/>
        <v/>
      </c>
    </row>
    <row r="115">
      <c r="A115" s="89">
        <v>112.0</v>
      </c>
      <c r="B115" s="90" t="s">
        <v>551</v>
      </c>
      <c r="C115" s="90" t="s">
        <v>35</v>
      </c>
      <c r="D115" s="91">
        <v>1.09</v>
      </c>
      <c r="E115" s="91">
        <f t="shared" si="1"/>
        <v>94.55</v>
      </c>
      <c r="F115" s="92">
        <v>10.96</v>
      </c>
      <c r="G115" s="91">
        <f t="shared" si="2"/>
        <v>45.2</v>
      </c>
      <c r="H115" s="93" t="s">
        <v>32</v>
      </c>
      <c r="I115" s="93" t="s">
        <v>32</v>
      </c>
      <c r="J115" s="98"/>
      <c r="K115" s="91">
        <f t="shared" si="3"/>
        <v>0</v>
      </c>
      <c r="L115" s="89">
        <f t="shared" si="4"/>
        <v>39.48</v>
      </c>
      <c r="M115" s="93" t="s">
        <v>53</v>
      </c>
      <c r="N115" s="91">
        <f t="shared" si="5"/>
        <v>100</v>
      </c>
      <c r="O115" s="89">
        <f t="shared" si="6"/>
        <v>53.198</v>
      </c>
      <c r="P115" s="90" t="str">
        <f t="shared" si="7"/>
        <v>Medium</v>
      </c>
      <c r="Q115" s="93" t="s">
        <v>45</v>
      </c>
      <c r="R115" s="100" t="str">
        <f t="shared" si="8"/>
        <v/>
      </c>
    </row>
    <row r="116">
      <c r="A116" s="89">
        <v>113.0</v>
      </c>
      <c r="B116" s="90" t="s">
        <v>553</v>
      </c>
      <c r="C116" s="90" t="s">
        <v>35</v>
      </c>
      <c r="D116" s="91">
        <v>29.33</v>
      </c>
      <c r="E116" s="91">
        <f t="shared" si="1"/>
        <v>0</v>
      </c>
      <c r="F116" s="92">
        <v>24.6</v>
      </c>
      <c r="G116" s="91">
        <f t="shared" si="2"/>
        <v>0</v>
      </c>
      <c r="H116" s="93" t="s">
        <v>32</v>
      </c>
      <c r="I116" s="93" t="s">
        <v>32</v>
      </c>
      <c r="J116" s="98"/>
      <c r="K116" s="91">
        <f t="shared" si="3"/>
        <v>0</v>
      </c>
      <c r="L116" s="89">
        <f t="shared" si="4"/>
        <v>18.92</v>
      </c>
      <c r="M116" s="93" t="s">
        <v>45</v>
      </c>
      <c r="N116" s="91">
        <f t="shared" si="5"/>
        <v>100</v>
      </c>
      <c r="O116" s="89">
        <f t="shared" si="6"/>
        <v>11.892</v>
      </c>
      <c r="P116" s="90" t="str">
        <f t="shared" si="7"/>
        <v>Low</v>
      </c>
      <c r="Q116" s="93" t="s">
        <v>45</v>
      </c>
      <c r="R116" s="100" t="str">
        <f t="shared" si="8"/>
        <v/>
      </c>
    </row>
    <row r="117">
      <c r="A117" s="89">
        <v>114.0</v>
      </c>
      <c r="B117" s="90" t="s">
        <v>554</v>
      </c>
      <c r="C117" s="90" t="s">
        <v>35</v>
      </c>
      <c r="D117" s="91">
        <v>2.97</v>
      </c>
      <c r="E117" s="91">
        <f t="shared" si="1"/>
        <v>85.15</v>
      </c>
      <c r="F117" s="92">
        <v>30.06</v>
      </c>
      <c r="G117" s="91">
        <f t="shared" si="2"/>
        <v>0</v>
      </c>
      <c r="H117" s="93" t="s">
        <v>32</v>
      </c>
      <c r="I117" s="93" t="s">
        <v>32</v>
      </c>
      <c r="J117" s="98"/>
      <c r="K117" s="91">
        <f t="shared" si="3"/>
        <v>0</v>
      </c>
      <c r="L117" s="89">
        <f t="shared" si="4"/>
        <v>100</v>
      </c>
      <c r="M117" s="93" t="s">
        <v>32</v>
      </c>
      <c r="N117" s="91">
        <f t="shared" si="5"/>
        <v>0</v>
      </c>
      <c r="O117" s="89">
        <f t="shared" si="6"/>
        <v>27.03</v>
      </c>
      <c r="P117" s="90" t="str">
        <f t="shared" si="7"/>
        <v>Low</v>
      </c>
      <c r="Q117" s="93" t="s">
        <v>51</v>
      </c>
      <c r="R117" s="100" t="str">
        <f t="shared" si="8"/>
        <v/>
      </c>
    </row>
    <row r="118">
      <c r="A118" s="89">
        <v>115.0</v>
      </c>
      <c r="B118" s="90" t="s">
        <v>555</v>
      </c>
      <c r="C118" s="90" t="s">
        <v>35</v>
      </c>
      <c r="D118" s="91">
        <v>49.81</v>
      </c>
      <c r="E118" s="91">
        <f t="shared" si="1"/>
        <v>0</v>
      </c>
      <c r="F118" s="92">
        <v>19.35</v>
      </c>
      <c r="G118" s="91">
        <f t="shared" si="2"/>
        <v>3.25</v>
      </c>
      <c r="H118" s="93" t="s">
        <v>32</v>
      </c>
      <c r="I118" s="93" t="s">
        <v>32</v>
      </c>
      <c r="J118" s="98"/>
      <c r="K118" s="91">
        <f t="shared" si="3"/>
        <v>0</v>
      </c>
      <c r="L118" s="89">
        <f t="shared" si="4"/>
        <v>100</v>
      </c>
      <c r="M118" s="93" t="s">
        <v>53</v>
      </c>
      <c r="N118" s="91">
        <f t="shared" si="5"/>
        <v>100</v>
      </c>
      <c r="O118" s="89">
        <f t="shared" si="6"/>
        <v>21.4625</v>
      </c>
      <c r="P118" s="90" t="str">
        <f t="shared" si="7"/>
        <v>Low</v>
      </c>
      <c r="Q118" s="93" t="s">
        <v>556</v>
      </c>
      <c r="R118" s="100" t="str">
        <f t="shared" si="8"/>
        <v/>
      </c>
    </row>
    <row r="119">
      <c r="A119" s="89">
        <v>116.0</v>
      </c>
      <c r="B119" s="90" t="s">
        <v>557</v>
      </c>
      <c r="C119" s="90" t="s">
        <v>35</v>
      </c>
      <c r="D119" s="91">
        <v>6.65</v>
      </c>
      <c r="E119" s="91">
        <f t="shared" si="1"/>
        <v>66.75</v>
      </c>
      <c r="F119" s="92">
        <v>26.97</v>
      </c>
      <c r="G119" s="91">
        <f t="shared" si="2"/>
        <v>0</v>
      </c>
      <c r="H119" s="93" t="s">
        <v>32</v>
      </c>
      <c r="I119" s="93" t="s">
        <v>32</v>
      </c>
      <c r="J119" s="98"/>
      <c r="K119" s="91">
        <f t="shared" si="3"/>
        <v>0</v>
      </c>
      <c r="L119" s="89">
        <f t="shared" si="4"/>
        <v>81.28</v>
      </c>
      <c r="M119" s="93" t="s">
        <v>32</v>
      </c>
      <c r="N119" s="91">
        <f t="shared" si="5"/>
        <v>0</v>
      </c>
      <c r="O119" s="89">
        <f t="shared" si="6"/>
        <v>21.478</v>
      </c>
      <c r="P119" s="90" t="str">
        <f t="shared" si="7"/>
        <v>Low</v>
      </c>
      <c r="Q119" s="93" t="s">
        <v>51</v>
      </c>
      <c r="R119" s="100" t="str">
        <f t="shared" si="8"/>
        <v/>
      </c>
    </row>
    <row r="120">
      <c r="A120" s="89">
        <v>117.0</v>
      </c>
      <c r="B120" s="90" t="s">
        <v>559</v>
      </c>
      <c r="C120" s="90" t="s">
        <v>35</v>
      </c>
      <c r="D120" s="91">
        <v>13.44</v>
      </c>
      <c r="E120" s="91">
        <f t="shared" si="1"/>
        <v>32.8</v>
      </c>
      <c r="F120" s="92">
        <v>37.85</v>
      </c>
      <c r="G120" s="91">
        <f t="shared" si="2"/>
        <v>0</v>
      </c>
      <c r="H120" s="93" t="s">
        <v>32</v>
      </c>
      <c r="I120" s="93" t="s">
        <v>32</v>
      </c>
      <c r="J120" s="98"/>
      <c r="K120" s="91">
        <f t="shared" si="3"/>
        <v>0</v>
      </c>
      <c r="L120" s="89">
        <f t="shared" si="4"/>
        <v>97.64</v>
      </c>
      <c r="M120" s="93" t="s">
        <v>32</v>
      </c>
      <c r="N120" s="91">
        <f t="shared" si="5"/>
        <v>0</v>
      </c>
      <c r="O120" s="89">
        <f t="shared" si="6"/>
        <v>16.324</v>
      </c>
      <c r="P120" s="90" t="str">
        <f t="shared" si="7"/>
        <v>Low</v>
      </c>
      <c r="Q120" s="93" t="s">
        <v>51</v>
      </c>
      <c r="R120" s="100" t="str">
        <f t="shared" si="8"/>
        <v/>
      </c>
    </row>
    <row r="121">
      <c r="F121" s="107"/>
    </row>
    <row r="122">
      <c r="F122" s="107"/>
    </row>
    <row r="123">
      <c r="F123" s="107"/>
    </row>
    <row r="124">
      <c r="F124" s="107"/>
    </row>
    <row r="125">
      <c r="F125" s="107"/>
    </row>
    <row r="126">
      <c r="F126" s="107"/>
    </row>
    <row r="127">
      <c r="F127" s="107"/>
    </row>
    <row r="128">
      <c r="F128" s="107"/>
    </row>
    <row r="129">
      <c r="F129" s="107"/>
    </row>
    <row r="130">
      <c r="F130" s="107"/>
    </row>
    <row r="131">
      <c r="F131" s="107"/>
    </row>
    <row r="132">
      <c r="F132" s="107"/>
    </row>
    <row r="133">
      <c r="F133" s="107"/>
    </row>
    <row r="134">
      <c r="F134" s="107"/>
    </row>
    <row r="135">
      <c r="F135" s="107"/>
    </row>
    <row r="136">
      <c r="F136" s="107"/>
    </row>
    <row r="137">
      <c r="F137" s="107"/>
    </row>
    <row r="138">
      <c r="F138" s="107"/>
    </row>
    <row r="139">
      <c r="F139" s="107"/>
    </row>
    <row r="140">
      <c r="F140" s="107"/>
    </row>
    <row r="141">
      <c r="F141" s="107"/>
    </row>
    <row r="142">
      <c r="F142" s="107"/>
    </row>
    <row r="143">
      <c r="F143" s="107"/>
    </row>
    <row r="144">
      <c r="F144" s="107"/>
    </row>
    <row r="145">
      <c r="F145" s="107"/>
    </row>
    <row r="146">
      <c r="F146" s="107"/>
    </row>
    <row r="147">
      <c r="F147" s="107"/>
    </row>
    <row r="148">
      <c r="F148" s="107"/>
    </row>
    <row r="149">
      <c r="F149" s="107"/>
    </row>
    <row r="150">
      <c r="F150" s="107"/>
    </row>
    <row r="151">
      <c r="F151" s="107"/>
    </row>
    <row r="152">
      <c r="F152" s="107"/>
    </row>
    <row r="153">
      <c r="F153" s="107"/>
    </row>
    <row r="154">
      <c r="F154" s="107"/>
    </row>
    <row r="155">
      <c r="F155" s="107"/>
    </row>
    <row r="156">
      <c r="F156" s="107"/>
    </row>
    <row r="157">
      <c r="F157" s="107"/>
    </row>
    <row r="158">
      <c r="F158" s="107"/>
    </row>
    <row r="159">
      <c r="F159" s="107"/>
    </row>
    <row r="160">
      <c r="F160" s="107"/>
    </row>
    <row r="161">
      <c r="F161" s="107"/>
    </row>
    <row r="162">
      <c r="F162" s="107"/>
    </row>
    <row r="163">
      <c r="F163" s="107"/>
    </row>
    <row r="164">
      <c r="F164" s="107"/>
    </row>
    <row r="165">
      <c r="F165" s="107"/>
    </row>
    <row r="166">
      <c r="F166" s="107"/>
    </row>
    <row r="167">
      <c r="F167" s="107"/>
    </row>
    <row r="168">
      <c r="F168" s="107"/>
    </row>
    <row r="169">
      <c r="F169" s="107"/>
    </row>
    <row r="170">
      <c r="F170" s="107"/>
    </row>
    <row r="171">
      <c r="F171" s="107"/>
    </row>
    <row r="172">
      <c r="F172" s="107"/>
    </row>
    <row r="173">
      <c r="F173" s="107"/>
    </row>
    <row r="174">
      <c r="F174" s="107"/>
    </row>
    <row r="175">
      <c r="F175" s="107"/>
    </row>
    <row r="176">
      <c r="F176" s="107"/>
    </row>
    <row r="177">
      <c r="F177" s="107"/>
    </row>
    <row r="178">
      <c r="F178" s="107"/>
    </row>
    <row r="179">
      <c r="F179" s="107"/>
    </row>
    <row r="180">
      <c r="F180" s="107"/>
    </row>
    <row r="181">
      <c r="F181" s="107"/>
    </row>
    <row r="182">
      <c r="F182" s="107"/>
    </row>
    <row r="183">
      <c r="F183" s="107"/>
    </row>
    <row r="184">
      <c r="F184" s="107"/>
    </row>
    <row r="185">
      <c r="F185" s="107"/>
    </row>
    <row r="186">
      <c r="F186" s="107"/>
    </row>
    <row r="187">
      <c r="F187" s="107"/>
    </row>
    <row r="188">
      <c r="F188" s="107"/>
    </row>
    <row r="189">
      <c r="F189" s="107"/>
    </row>
    <row r="190">
      <c r="F190" s="107"/>
    </row>
    <row r="191">
      <c r="F191" s="107"/>
    </row>
    <row r="192">
      <c r="F192" s="107"/>
    </row>
    <row r="193">
      <c r="F193" s="107"/>
    </row>
    <row r="194">
      <c r="F194" s="107"/>
    </row>
    <row r="195">
      <c r="F195" s="107"/>
    </row>
    <row r="196">
      <c r="F196" s="107"/>
    </row>
    <row r="197">
      <c r="F197" s="107"/>
    </row>
    <row r="198">
      <c r="F198" s="107"/>
    </row>
    <row r="199">
      <c r="F199" s="107"/>
    </row>
    <row r="200">
      <c r="F200" s="107"/>
    </row>
    <row r="201">
      <c r="F201" s="107"/>
    </row>
    <row r="202">
      <c r="F202" s="107"/>
    </row>
    <row r="203">
      <c r="F203" s="107"/>
    </row>
    <row r="204">
      <c r="F204" s="107"/>
    </row>
    <row r="205">
      <c r="F205" s="107"/>
    </row>
    <row r="206">
      <c r="F206" s="107"/>
    </row>
    <row r="207">
      <c r="F207" s="107"/>
    </row>
    <row r="208">
      <c r="F208" s="107"/>
    </row>
    <row r="209">
      <c r="F209" s="107"/>
    </row>
    <row r="210">
      <c r="F210" s="107"/>
    </row>
    <row r="211">
      <c r="F211" s="107"/>
    </row>
    <row r="212">
      <c r="F212" s="107"/>
    </row>
    <row r="213">
      <c r="F213" s="107"/>
    </row>
    <row r="214">
      <c r="F214" s="107"/>
    </row>
    <row r="215">
      <c r="F215" s="107"/>
    </row>
    <row r="216">
      <c r="F216" s="107"/>
    </row>
    <row r="217">
      <c r="F217" s="107"/>
    </row>
    <row r="218">
      <c r="F218" s="107"/>
    </row>
    <row r="219">
      <c r="F219" s="107"/>
    </row>
    <row r="220">
      <c r="F220" s="107"/>
    </row>
    <row r="221">
      <c r="F221" s="107"/>
    </row>
    <row r="222">
      <c r="F222" s="107"/>
    </row>
    <row r="223">
      <c r="F223" s="107"/>
    </row>
    <row r="224">
      <c r="F224" s="107"/>
    </row>
    <row r="225">
      <c r="F225" s="107"/>
    </row>
    <row r="226">
      <c r="F226" s="107"/>
    </row>
    <row r="227">
      <c r="F227" s="107"/>
    </row>
    <row r="228">
      <c r="F228" s="107"/>
    </row>
    <row r="229">
      <c r="F229" s="107"/>
    </row>
    <row r="230">
      <c r="F230" s="107"/>
    </row>
    <row r="231">
      <c r="F231" s="107"/>
    </row>
    <row r="232">
      <c r="F232" s="107"/>
    </row>
    <row r="233">
      <c r="F233" s="107"/>
    </row>
    <row r="234">
      <c r="F234" s="107"/>
    </row>
    <row r="235">
      <c r="F235" s="107"/>
    </row>
    <row r="236">
      <c r="F236" s="107"/>
    </row>
    <row r="237">
      <c r="F237" s="107"/>
    </row>
    <row r="238">
      <c r="F238" s="107"/>
    </row>
    <row r="239">
      <c r="F239" s="107"/>
    </row>
    <row r="240">
      <c r="F240" s="107"/>
    </row>
    <row r="241">
      <c r="F241" s="107"/>
    </row>
    <row r="242">
      <c r="F242" s="107"/>
    </row>
    <row r="243">
      <c r="F243" s="107"/>
    </row>
    <row r="244">
      <c r="F244" s="107"/>
    </row>
    <row r="245">
      <c r="F245" s="107"/>
    </row>
    <row r="246">
      <c r="F246" s="107"/>
    </row>
    <row r="247">
      <c r="F247" s="107"/>
    </row>
    <row r="248">
      <c r="F248" s="107"/>
    </row>
    <row r="249">
      <c r="F249" s="107"/>
    </row>
    <row r="250">
      <c r="F250" s="107"/>
    </row>
    <row r="251">
      <c r="F251" s="107"/>
    </row>
    <row r="252">
      <c r="F252" s="107"/>
    </row>
    <row r="253">
      <c r="F253" s="107"/>
    </row>
    <row r="254">
      <c r="F254" s="107"/>
    </row>
    <row r="255">
      <c r="F255" s="107"/>
    </row>
    <row r="256">
      <c r="F256" s="107"/>
    </row>
    <row r="257">
      <c r="F257" s="107"/>
    </row>
    <row r="258">
      <c r="F258" s="107"/>
    </row>
    <row r="259">
      <c r="F259" s="107"/>
    </row>
    <row r="260">
      <c r="F260" s="107"/>
    </row>
    <row r="261">
      <c r="F261" s="107"/>
    </row>
    <row r="262">
      <c r="F262" s="107"/>
    </row>
    <row r="263">
      <c r="F263" s="107"/>
    </row>
    <row r="264">
      <c r="F264" s="107"/>
    </row>
    <row r="265">
      <c r="F265" s="107"/>
    </row>
    <row r="266">
      <c r="F266" s="107"/>
    </row>
    <row r="267">
      <c r="F267" s="107"/>
    </row>
    <row r="268">
      <c r="F268" s="107"/>
    </row>
    <row r="269">
      <c r="F269" s="107"/>
    </row>
    <row r="270">
      <c r="F270" s="107"/>
    </row>
    <row r="271">
      <c r="F271" s="107"/>
    </row>
    <row r="272">
      <c r="F272" s="107"/>
    </row>
    <row r="273">
      <c r="F273" s="107"/>
    </row>
    <row r="274">
      <c r="F274" s="107"/>
    </row>
    <row r="275">
      <c r="F275" s="107"/>
    </row>
    <row r="276">
      <c r="F276" s="107"/>
    </row>
    <row r="277">
      <c r="F277" s="107"/>
    </row>
    <row r="278">
      <c r="F278" s="107"/>
    </row>
    <row r="279">
      <c r="F279" s="107"/>
    </row>
    <row r="280">
      <c r="F280" s="107"/>
    </row>
    <row r="281">
      <c r="F281" s="107"/>
    </row>
    <row r="282">
      <c r="F282" s="107"/>
    </row>
    <row r="283">
      <c r="F283" s="107"/>
    </row>
    <row r="284">
      <c r="F284" s="107"/>
    </row>
    <row r="285">
      <c r="F285" s="107"/>
    </row>
    <row r="286">
      <c r="F286" s="107"/>
    </row>
    <row r="287">
      <c r="F287" s="107"/>
    </row>
    <row r="288">
      <c r="F288" s="107"/>
    </row>
    <row r="289">
      <c r="F289" s="107"/>
    </row>
    <row r="290">
      <c r="F290" s="107"/>
    </row>
    <row r="291">
      <c r="F291" s="107"/>
    </row>
    <row r="292">
      <c r="F292" s="107"/>
    </row>
    <row r="293">
      <c r="F293" s="107"/>
    </row>
    <row r="294">
      <c r="F294" s="107"/>
    </row>
    <row r="295">
      <c r="F295" s="107"/>
    </row>
    <row r="296">
      <c r="F296" s="107"/>
    </row>
    <row r="297">
      <c r="F297" s="107"/>
    </row>
    <row r="298">
      <c r="F298" s="107"/>
    </row>
    <row r="299">
      <c r="F299" s="107"/>
    </row>
    <row r="300">
      <c r="F300" s="107"/>
    </row>
    <row r="301">
      <c r="F301" s="107"/>
    </row>
    <row r="302">
      <c r="F302" s="107"/>
    </row>
    <row r="303">
      <c r="F303" s="107"/>
    </row>
    <row r="304">
      <c r="F304" s="107"/>
    </row>
    <row r="305">
      <c r="F305" s="107"/>
    </row>
    <row r="306">
      <c r="F306" s="107"/>
    </row>
    <row r="307">
      <c r="F307" s="107"/>
    </row>
    <row r="308">
      <c r="F308" s="107"/>
    </row>
    <row r="309">
      <c r="F309" s="107"/>
    </row>
    <row r="310">
      <c r="F310" s="107"/>
    </row>
    <row r="311">
      <c r="F311" s="107"/>
    </row>
    <row r="312">
      <c r="F312" s="107"/>
    </row>
    <row r="313">
      <c r="F313" s="107"/>
    </row>
    <row r="314">
      <c r="F314" s="107"/>
    </row>
    <row r="315">
      <c r="F315" s="107"/>
    </row>
    <row r="316">
      <c r="F316" s="107"/>
    </row>
    <row r="317">
      <c r="F317" s="107"/>
    </row>
    <row r="318">
      <c r="F318" s="107"/>
    </row>
    <row r="319">
      <c r="F319" s="107"/>
    </row>
    <row r="320">
      <c r="F320" s="107"/>
    </row>
    <row r="321">
      <c r="F321" s="107"/>
    </row>
    <row r="322">
      <c r="F322" s="107"/>
    </row>
    <row r="323">
      <c r="F323" s="107"/>
    </row>
    <row r="324">
      <c r="F324" s="107"/>
    </row>
    <row r="325">
      <c r="F325" s="107"/>
    </row>
    <row r="326">
      <c r="F326" s="107"/>
    </row>
    <row r="327">
      <c r="F327" s="107"/>
    </row>
    <row r="328">
      <c r="F328" s="107"/>
    </row>
    <row r="329">
      <c r="F329" s="107"/>
    </row>
    <row r="330">
      <c r="F330" s="107"/>
    </row>
    <row r="331">
      <c r="F331" s="107"/>
    </row>
    <row r="332">
      <c r="F332" s="107"/>
    </row>
    <row r="333">
      <c r="F333" s="107"/>
    </row>
    <row r="334">
      <c r="F334" s="107"/>
    </row>
    <row r="335">
      <c r="F335" s="107"/>
    </row>
    <row r="336">
      <c r="F336" s="107"/>
    </row>
    <row r="337">
      <c r="F337" s="107"/>
    </row>
    <row r="338">
      <c r="F338" s="107"/>
    </row>
    <row r="339">
      <c r="F339" s="107"/>
    </row>
    <row r="340">
      <c r="F340" s="107"/>
    </row>
    <row r="341">
      <c r="F341" s="107"/>
    </row>
    <row r="342">
      <c r="F342" s="107"/>
    </row>
    <row r="343">
      <c r="F343" s="107"/>
    </row>
    <row r="344">
      <c r="F344" s="107"/>
    </row>
    <row r="345">
      <c r="F345" s="107"/>
    </row>
    <row r="346">
      <c r="F346" s="107"/>
    </row>
    <row r="347">
      <c r="F347" s="107"/>
    </row>
    <row r="348">
      <c r="F348" s="107"/>
    </row>
    <row r="349">
      <c r="F349" s="107"/>
    </row>
    <row r="350">
      <c r="F350" s="107"/>
    </row>
    <row r="351">
      <c r="F351" s="107"/>
    </row>
    <row r="352">
      <c r="F352" s="107"/>
    </row>
    <row r="353">
      <c r="F353" s="107"/>
    </row>
    <row r="354">
      <c r="F354" s="107"/>
    </row>
    <row r="355">
      <c r="F355" s="107"/>
    </row>
    <row r="356">
      <c r="F356" s="107"/>
    </row>
    <row r="357">
      <c r="F357" s="107"/>
    </row>
    <row r="358">
      <c r="F358" s="107"/>
    </row>
    <row r="359">
      <c r="F359" s="107"/>
    </row>
    <row r="360">
      <c r="F360" s="107"/>
    </row>
    <row r="361">
      <c r="F361" s="107"/>
    </row>
    <row r="362">
      <c r="F362" s="107"/>
    </row>
    <row r="363">
      <c r="F363" s="107"/>
    </row>
    <row r="364">
      <c r="F364" s="107"/>
    </row>
    <row r="365">
      <c r="F365" s="107"/>
    </row>
    <row r="366">
      <c r="F366" s="107"/>
    </row>
    <row r="367">
      <c r="F367" s="107"/>
    </row>
    <row r="368">
      <c r="F368" s="107"/>
    </row>
    <row r="369">
      <c r="F369" s="107"/>
    </row>
    <row r="370">
      <c r="F370" s="107"/>
    </row>
    <row r="371">
      <c r="F371" s="107"/>
    </row>
    <row r="372">
      <c r="F372" s="107"/>
    </row>
    <row r="373">
      <c r="F373" s="107"/>
    </row>
    <row r="374">
      <c r="F374" s="107"/>
    </row>
    <row r="375">
      <c r="F375" s="107"/>
    </row>
    <row r="376">
      <c r="F376" s="107"/>
    </row>
    <row r="377">
      <c r="F377" s="107"/>
    </row>
    <row r="378">
      <c r="F378" s="107"/>
    </row>
    <row r="379">
      <c r="F379" s="107"/>
    </row>
    <row r="380">
      <c r="F380" s="107"/>
    </row>
    <row r="381">
      <c r="F381" s="107"/>
    </row>
    <row r="382">
      <c r="F382" s="107"/>
    </row>
    <row r="383">
      <c r="F383" s="107"/>
    </row>
    <row r="384">
      <c r="F384" s="107"/>
    </row>
    <row r="385">
      <c r="F385" s="107"/>
    </row>
    <row r="386">
      <c r="F386" s="107"/>
    </row>
    <row r="387">
      <c r="F387" s="107"/>
    </row>
    <row r="388">
      <c r="F388" s="107"/>
    </row>
    <row r="389">
      <c r="F389" s="107"/>
    </row>
    <row r="390">
      <c r="F390" s="107"/>
    </row>
    <row r="391">
      <c r="F391" s="107"/>
    </row>
    <row r="392">
      <c r="F392" s="107"/>
    </row>
    <row r="393">
      <c r="F393" s="107"/>
    </row>
    <row r="394">
      <c r="F394" s="107"/>
    </row>
    <row r="395">
      <c r="F395" s="107"/>
    </row>
    <row r="396">
      <c r="F396" s="107"/>
    </row>
    <row r="397">
      <c r="F397" s="107"/>
    </row>
    <row r="398">
      <c r="F398" s="107"/>
    </row>
    <row r="399">
      <c r="F399" s="107"/>
    </row>
    <row r="400">
      <c r="F400" s="107"/>
    </row>
    <row r="401">
      <c r="F401" s="107"/>
    </row>
    <row r="402">
      <c r="F402" s="107"/>
    </row>
    <row r="403">
      <c r="F403" s="107"/>
    </row>
    <row r="404">
      <c r="F404" s="107"/>
    </row>
    <row r="405">
      <c r="F405" s="107"/>
    </row>
    <row r="406">
      <c r="F406" s="107"/>
    </row>
    <row r="407">
      <c r="F407" s="107"/>
    </row>
    <row r="408">
      <c r="F408" s="107"/>
    </row>
    <row r="409">
      <c r="F409" s="107"/>
    </row>
    <row r="410">
      <c r="F410" s="107"/>
    </row>
    <row r="411">
      <c r="F411" s="107"/>
    </row>
    <row r="412">
      <c r="F412" s="107"/>
    </row>
    <row r="413">
      <c r="F413" s="107"/>
    </row>
    <row r="414">
      <c r="F414" s="107"/>
    </row>
    <row r="415">
      <c r="F415" s="107"/>
    </row>
    <row r="416">
      <c r="F416" s="107"/>
    </row>
    <row r="417">
      <c r="F417" s="107"/>
    </row>
    <row r="418">
      <c r="F418" s="107"/>
    </row>
    <row r="419">
      <c r="F419" s="107"/>
    </row>
    <row r="420">
      <c r="F420" s="107"/>
    </row>
    <row r="421">
      <c r="F421" s="107"/>
    </row>
    <row r="422">
      <c r="F422" s="107"/>
    </row>
    <row r="423">
      <c r="F423" s="107"/>
    </row>
    <row r="424">
      <c r="F424" s="107"/>
    </row>
    <row r="425">
      <c r="F425" s="107"/>
    </row>
    <row r="426">
      <c r="F426" s="107"/>
    </row>
    <row r="427">
      <c r="F427" s="107"/>
    </row>
    <row r="428">
      <c r="F428" s="107"/>
    </row>
    <row r="429">
      <c r="F429" s="107"/>
    </row>
    <row r="430">
      <c r="F430" s="107"/>
    </row>
    <row r="431">
      <c r="F431" s="107"/>
    </row>
    <row r="432">
      <c r="F432" s="107"/>
    </row>
    <row r="433">
      <c r="F433" s="107"/>
    </row>
    <row r="434">
      <c r="F434" s="107"/>
    </row>
    <row r="435">
      <c r="F435" s="107"/>
    </row>
    <row r="436">
      <c r="F436" s="107"/>
    </row>
    <row r="437">
      <c r="F437" s="107"/>
    </row>
    <row r="438">
      <c r="F438" s="107"/>
    </row>
    <row r="439">
      <c r="F439" s="107"/>
    </row>
    <row r="440">
      <c r="F440" s="107"/>
    </row>
    <row r="441">
      <c r="F441" s="107"/>
    </row>
    <row r="442">
      <c r="F442" s="107"/>
    </row>
    <row r="443">
      <c r="F443" s="107"/>
    </row>
    <row r="444">
      <c r="F444" s="107"/>
    </row>
    <row r="445">
      <c r="F445" s="107"/>
    </row>
    <row r="446">
      <c r="F446" s="107"/>
    </row>
    <row r="447">
      <c r="F447" s="107"/>
    </row>
    <row r="448">
      <c r="F448" s="107"/>
    </row>
    <row r="449">
      <c r="F449" s="107"/>
    </row>
    <row r="450">
      <c r="F450" s="107"/>
    </row>
    <row r="451">
      <c r="F451" s="107"/>
    </row>
    <row r="452">
      <c r="F452" s="107"/>
    </row>
    <row r="453">
      <c r="F453" s="107"/>
    </row>
    <row r="454">
      <c r="F454" s="107"/>
    </row>
    <row r="455">
      <c r="F455" s="107"/>
    </row>
    <row r="456">
      <c r="F456" s="107"/>
    </row>
    <row r="457">
      <c r="F457" s="107"/>
    </row>
    <row r="458">
      <c r="F458" s="107"/>
    </row>
    <row r="459">
      <c r="F459" s="107"/>
    </row>
    <row r="460">
      <c r="F460" s="107"/>
    </row>
    <row r="461">
      <c r="F461" s="107"/>
    </row>
    <row r="462">
      <c r="F462" s="107"/>
    </row>
    <row r="463">
      <c r="F463" s="107"/>
    </row>
    <row r="464">
      <c r="F464" s="107"/>
    </row>
    <row r="465">
      <c r="F465" s="107"/>
    </row>
    <row r="466">
      <c r="F466" s="107"/>
    </row>
    <row r="467">
      <c r="F467" s="107"/>
    </row>
    <row r="468">
      <c r="F468" s="107"/>
    </row>
    <row r="469">
      <c r="F469" s="107"/>
    </row>
    <row r="470">
      <c r="F470" s="107"/>
    </row>
    <row r="471">
      <c r="F471" s="107"/>
    </row>
    <row r="472">
      <c r="F472" s="107"/>
    </row>
    <row r="473">
      <c r="F473" s="107"/>
    </row>
    <row r="474">
      <c r="F474" s="107"/>
    </row>
    <row r="475">
      <c r="F475" s="107"/>
    </row>
    <row r="476">
      <c r="F476" s="107"/>
    </row>
    <row r="477">
      <c r="F477" s="107"/>
    </row>
    <row r="478">
      <c r="F478" s="107"/>
    </row>
    <row r="479">
      <c r="F479" s="107"/>
    </row>
    <row r="480">
      <c r="F480" s="107"/>
    </row>
    <row r="481">
      <c r="F481" s="107"/>
    </row>
    <row r="482">
      <c r="F482" s="107"/>
    </row>
    <row r="483">
      <c r="F483" s="107"/>
    </row>
    <row r="484">
      <c r="F484" s="107"/>
    </row>
    <row r="485">
      <c r="F485" s="107"/>
    </row>
    <row r="486">
      <c r="F486" s="107"/>
    </row>
    <row r="487">
      <c r="F487" s="107"/>
    </row>
    <row r="488">
      <c r="F488" s="107"/>
    </row>
    <row r="489">
      <c r="F489" s="107"/>
    </row>
    <row r="490">
      <c r="F490" s="107"/>
    </row>
    <row r="491">
      <c r="F491" s="107"/>
    </row>
    <row r="492">
      <c r="F492" s="107"/>
    </row>
    <row r="493">
      <c r="F493" s="107"/>
    </row>
    <row r="494">
      <c r="F494" s="107"/>
    </row>
    <row r="495">
      <c r="F495" s="107"/>
    </row>
    <row r="496">
      <c r="F496" s="107"/>
    </row>
    <row r="497">
      <c r="F497" s="107"/>
    </row>
    <row r="498">
      <c r="F498" s="107"/>
    </row>
    <row r="499">
      <c r="F499" s="107"/>
    </row>
    <row r="500">
      <c r="F500" s="107"/>
    </row>
    <row r="501">
      <c r="F501" s="107"/>
    </row>
    <row r="502">
      <c r="F502" s="107"/>
    </row>
    <row r="503">
      <c r="F503" s="107"/>
    </row>
    <row r="504">
      <c r="F504" s="107"/>
    </row>
    <row r="505">
      <c r="F505" s="107"/>
    </row>
    <row r="506">
      <c r="F506" s="107"/>
    </row>
    <row r="507">
      <c r="F507" s="107"/>
    </row>
    <row r="508">
      <c r="F508" s="107"/>
    </row>
    <row r="509">
      <c r="F509" s="107"/>
    </row>
    <row r="510">
      <c r="F510" s="107"/>
    </row>
    <row r="511">
      <c r="F511" s="107"/>
    </row>
    <row r="512">
      <c r="F512" s="107"/>
    </row>
    <row r="513">
      <c r="F513" s="107"/>
    </row>
    <row r="514">
      <c r="F514" s="107"/>
    </row>
    <row r="515">
      <c r="F515" s="107"/>
    </row>
    <row r="516">
      <c r="F516" s="107"/>
    </row>
    <row r="517">
      <c r="F517" s="107"/>
    </row>
    <row r="518">
      <c r="F518" s="107"/>
    </row>
    <row r="519">
      <c r="F519" s="107"/>
    </row>
    <row r="520">
      <c r="F520" s="107"/>
    </row>
    <row r="521">
      <c r="F521" s="107"/>
    </row>
    <row r="522">
      <c r="F522" s="107"/>
    </row>
    <row r="523">
      <c r="F523" s="107"/>
    </row>
    <row r="524">
      <c r="F524" s="107"/>
    </row>
    <row r="525">
      <c r="F525" s="107"/>
    </row>
    <row r="526">
      <c r="F526" s="107"/>
    </row>
    <row r="527">
      <c r="F527" s="107"/>
    </row>
    <row r="528">
      <c r="F528" s="107"/>
    </row>
    <row r="529">
      <c r="F529" s="107"/>
    </row>
    <row r="530">
      <c r="F530" s="107"/>
    </row>
    <row r="531">
      <c r="F531" s="107"/>
    </row>
    <row r="532">
      <c r="F532" s="107"/>
    </row>
    <row r="533">
      <c r="F533" s="107"/>
    </row>
    <row r="534">
      <c r="F534" s="107"/>
    </row>
    <row r="535">
      <c r="F535" s="107"/>
    </row>
    <row r="536">
      <c r="F536" s="107"/>
    </row>
    <row r="537">
      <c r="F537" s="107"/>
    </row>
    <row r="538">
      <c r="F538" s="107"/>
    </row>
    <row r="539">
      <c r="F539" s="107"/>
    </row>
    <row r="540">
      <c r="F540" s="107"/>
    </row>
    <row r="541">
      <c r="F541" s="107"/>
    </row>
    <row r="542">
      <c r="F542" s="107"/>
    </row>
    <row r="543">
      <c r="F543" s="107"/>
    </row>
    <row r="544">
      <c r="F544" s="107"/>
    </row>
    <row r="545">
      <c r="F545" s="107"/>
    </row>
    <row r="546">
      <c r="F546" s="107"/>
    </row>
    <row r="547">
      <c r="F547" s="107"/>
    </row>
    <row r="548">
      <c r="F548" s="107"/>
    </row>
    <row r="549">
      <c r="F549" s="107"/>
    </row>
    <row r="550">
      <c r="F550" s="107"/>
    </row>
    <row r="551">
      <c r="F551" s="107"/>
    </row>
    <row r="552">
      <c r="F552" s="107"/>
    </row>
    <row r="553">
      <c r="F553" s="107"/>
    </row>
    <row r="554">
      <c r="F554" s="107"/>
    </row>
    <row r="555">
      <c r="F555" s="107"/>
    </row>
    <row r="556">
      <c r="F556" s="107"/>
    </row>
    <row r="557">
      <c r="F557" s="107"/>
    </row>
    <row r="558">
      <c r="F558" s="107"/>
    </row>
    <row r="559">
      <c r="F559" s="107"/>
    </row>
    <row r="560">
      <c r="F560" s="107"/>
    </row>
    <row r="561">
      <c r="F561" s="107"/>
    </row>
    <row r="562">
      <c r="F562" s="107"/>
    </row>
    <row r="563">
      <c r="F563" s="107"/>
    </row>
    <row r="564">
      <c r="F564" s="107"/>
    </row>
    <row r="565">
      <c r="F565" s="107"/>
    </row>
    <row r="566">
      <c r="F566" s="107"/>
    </row>
    <row r="567">
      <c r="F567" s="107"/>
    </row>
    <row r="568">
      <c r="F568" s="107"/>
    </row>
    <row r="569">
      <c r="F569" s="107"/>
    </row>
    <row r="570">
      <c r="F570" s="107"/>
    </row>
    <row r="571">
      <c r="F571" s="107"/>
    </row>
    <row r="572">
      <c r="F572" s="107"/>
    </row>
    <row r="573">
      <c r="F573" s="107"/>
    </row>
    <row r="574">
      <c r="F574" s="107"/>
    </row>
    <row r="575">
      <c r="F575" s="107"/>
    </row>
    <row r="576">
      <c r="F576" s="107"/>
    </row>
    <row r="577">
      <c r="F577" s="107"/>
    </row>
    <row r="578">
      <c r="F578" s="107"/>
    </row>
    <row r="579">
      <c r="F579" s="107"/>
    </row>
    <row r="580">
      <c r="F580" s="107"/>
    </row>
    <row r="581">
      <c r="F581" s="107"/>
    </row>
    <row r="582">
      <c r="F582" s="107"/>
    </row>
    <row r="583">
      <c r="F583" s="107"/>
    </row>
    <row r="584">
      <c r="F584" s="107"/>
    </row>
    <row r="585">
      <c r="F585" s="107"/>
    </row>
    <row r="586">
      <c r="F586" s="107"/>
    </row>
    <row r="587">
      <c r="F587" s="107"/>
    </row>
    <row r="588">
      <c r="F588" s="107"/>
    </row>
    <row r="589">
      <c r="F589" s="107"/>
    </row>
    <row r="590">
      <c r="F590" s="107"/>
    </row>
    <row r="591">
      <c r="F591" s="107"/>
    </row>
    <row r="592">
      <c r="F592" s="107"/>
    </row>
    <row r="593">
      <c r="F593" s="107"/>
    </row>
    <row r="594">
      <c r="F594" s="107"/>
    </row>
    <row r="595">
      <c r="F595" s="107"/>
    </row>
    <row r="596">
      <c r="F596" s="107"/>
    </row>
    <row r="597">
      <c r="F597" s="107"/>
    </row>
    <row r="598">
      <c r="F598" s="107"/>
    </row>
    <row r="599">
      <c r="F599" s="107"/>
    </row>
    <row r="600">
      <c r="F600" s="107"/>
    </row>
    <row r="601">
      <c r="F601" s="107"/>
    </row>
    <row r="602">
      <c r="F602" s="107"/>
    </row>
    <row r="603">
      <c r="F603" s="107"/>
    </row>
    <row r="604">
      <c r="F604" s="107"/>
    </row>
    <row r="605">
      <c r="F605" s="107"/>
    </row>
    <row r="606">
      <c r="F606" s="107"/>
    </row>
    <row r="607">
      <c r="F607" s="107"/>
    </row>
    <row r="608">
      <c r="F608" s="107"/>
    </row>
    <row r="609">
      <c r="F609" s="107"/>
    </row>
    <row r="610">
      <c r="F610" s="107"/>
    </row>
    <row r="611">
      <c r="F611" s="107"/>
    </row>
    <row r="612">
      <c r="F612" s="107"/>
    </row>
    <row r="613">
      <c r="F613" s="107"/>
    </row>
    <row r="614">
      <c r="F614" s="107"/>
    </row>
    <row r="615">
      <c r="F615" s="107"/>
    </row>
    <row r="616">
      <c r="F616" s="107"/>
    </row>
    <row r="617">
      <c r="F617" s="107"/>
    </row>
    <row r="618">
      <c r="F618" s="107"/>
    </row>
    <row r="619">
      <c r="F619" s="107"/>
    </row>
    <row r="620">
      <c r="F620" s="107"/>
    </row>
    <row r="621">
      <c r="F621" s="107"/>
    </row>
    <row r="622">
      <c r="F622" s="107"/>
    </row>
    <row r="623">
      <c r="F623" s="107"/>
    </row>
    <row r="624">
      <c r="F624" s="107"/>
    </row>
    <row r="625">
      <c r="F625" s="107"/>
    </row>
    <row r="626">
      <c r="F626" s="107"/>
    </row>
    <row r="627">
      <c r="F627" s="107"/>
    </row>
    <row r="628">
      <c r="F628" s="107"/>
    </row>
    <row r="629">
      <c r="F629" s="107"/>
    </row>
    <row r="630">
      <c r="F630" s="107"/>
    </row>
    <row r="631">
      <c r="F631" s="107"/>
    </row>
    <row r="632">
      <c r="F632" s="107"/>
    </row>
    <row r="633">
      <c r="F633" s="107"/>
    </row>
    <row r="634">
      <c r="F634" s="107"/>
    </row>
    <row r="635">
      <c r="F635" s="107"/>
    </row>
    <row r="636">
      <c r="F636" s="107"/>
    </row>
    <row r="637">
      <c r="F637" s="107"/>
    </row>
    <row r="638">
      <c r="F638" s="107"/>
    </row>
    <row r="639">
      <c r="F639" s="107"/>
    </row>
    <row r="640">
      <c r="F640" s="107"/>
    </row>
    <row r="641">
      <c r="F641" s="107"/>
    </row>
    <row r="642">
      <c r="F642" s="107"/>
    </row>
    <row r="643">
      <c r="F643" s="107"/>
    </row>
    <row r="644">
      <c r="F644" s="107"/>
    </row>
    <row r="645">
      <c r="F645" s="107"/>
    </row>
    <row r="646">
      <c r="F646" s="107"/>
    </row>
    <row r="647">
      <c r="F647" s="107"/>
    </row>
    <row r="648">
      <c r="F648" s="107"/>
    </row>
    <row r="649">
      <c r="F649" s="107"/>
    </row>
    <row r="650">
      <c r="F650" s="107"/>
    </row>
    <row r="651">
      <c r="F651" s="107"/>
    </row>
    <row r="652">
      <c r="F652" s="107"/>
    </row>
    <row r="653">
      <c r="F653" s="107"/>
    </row>
    <row r="654">
      <c r="F654" s="107"/>
    </row>
    <row r="655">
      <c r="F655" s="107"/>
    </row>
    <row r="656">
      <c r="F656" s="107"/>
    </row>
    <row r="657">
      <c r="F657" s="107"/>
    </row>
    <row r="658">
      <c r="F658" s="107"/>
    </row>
    <row r="659">
      <c r="F659" s="107"/>
    </row>
    <row r="660">
      <c r="F660" s="107"/>
    </row>
    <row r="661">
      <c r="F661" s="107"/>
    </row>
    <row r="662">
      <c r="F662" s="107"/>
    </row>
    <row r="663">
      <c r="F663" s="107"/>
    </row>
    <row r="664">
      <c r="F664" s="107"/>
    </row>
    <row r="665">
      <c r="F665" s="107"/>
    </row>
    <row r="666">
      <c r="F666" s="107"/>
    </row>
    <row r="667">
      <c r="F667" s="107"/>
    </row>
    <row r="668">
      <c r="F668" s="107"/>
    </row>
    <row r="669">
      <c r="F669" s="107"/>
    </row>
    <row r="670">
      <c r="F670" s="107"/>
    </row>
    <row r="671">
      <c r="F671" s="107"/>
    </row>
    <row r="672">
      <c r="F672" s="107"/>
    </row>
    <row r="673">
      <c r="F673" s="107"/>
    </row>
    <row r="674">
      <c r="F674" s="107"/>
    </row>
    <row r="675">
      <c r="F675" s="107"/>
    </row>
    <row r="676">
      <c r="F676" s="107"/>
    </row>
    <row r="677">
      <c r="F677" s="107"/>
    </row>
    <row r="678">
      <c r="F678" s="107"/>
    </row>
    <row r="679">
      <c r="F679" s="107"/>
    </row>
    <row r="680">
      <c r="F680" s="107"/>
    </row>
    <row r="681">
      <c r="F681" s="107"/>
    </row>
    <row r="682">
      <c r="F682" s="107"/>
    </row>
    <row r="683">
      <c r="F683" s="107"/>
    </row>
    <row r="684">
      <c r="F684" s="107"/>
    </row>
    <row r="685">
      <c r="F685" s="107"/>
    </row>
    <row r="686">
      <c r="F686" s="107"/>
    </row>
    <row r="687">
      <c r="F687" s="107"/>
    </row>
    <row r="688">
      <c r="F688" s="107"/>
    </row>
    <row r="689">
      <c r="F689" s="107"/>
    </row>
    <row r="690">
      <c r="F690" s="107"/>
    </row>
    <row r="691">
      <c r="F691" s="107"/>
    </row>
    <row r="692">
      <c r="F692" s="107"/>
    </row>
    <row r="693">
      <c r="F693" s="107"/>
    </row>
    <row r="694">
      <c r="F694" s="107"/>
    </row>
    <row r="695">
      <c r="F695" s="107"/>
    </row>
    <row r="696">
      <c r="F696" s="107"/>
    </row>
    <row r="697">
      <c r="F697" s="107"/>
    </row>
    <row r="698">
      <c r="F698" s="107"/>
    </row>
    <row r="699">
      <c r="F699" s="107"/>
    </row>
    <row r="700">
      <c r="F700" s="107"/>
    </row>
    <row r="701">
      <c r="F701" s="107"/>
    </row>
    <row r="702">
      <c r="F702" s="107"/>
    </row>
    <row r="703">
      <c r="F703" s="107"/>
    </row>
    <row r="704">
      <c r="F704" s="107"/>
    </row>
    <row r="705">
      <c r="F705" s="107"/>
    </row>
    <row r="706">
      <c r="F706" s="107"/>
    </row>
    <row r="707">
      <c r="F707" s="107"/>
    </row>
    <row r="708">
      <c r="F708" s="107"/>
    </row>
    <row r="709">
      <c r="F709" s="107"/>
    </row>
    <row r="710">
      <c r="F710" s="107"/>
    </row>
    <row r="711">
      <c r="F711" s="107"/>
    </row>
    <row r="712">
      <c r="F712" s="107"/>
    </row>
    <row r="713">
      <c r="F713" s="107"/>
    </row>
    <row r="714">
      <c r="F714" s="107"/>
    </row>
    <row r="715">
      <c r="F715" s="107"/>
    </row>
    <row r="716">
      <c r="F716" s="107"/>
    </row>
    <row r="717">
      <c r="F717" s="107"/>
    </row>
    <row r="718">
      <c r="F718" s="107"/>
    </row>
    <row r="719">
      <c r="F719" s="107"/>
    </row>
    <row r="720">
      <c r="F720" s="107"/>
    </row>
    <row r="721">
      <c r="F721" s="107"/>
    </row>
    <row r="722">
      <c r="F722" s="107"/>
    </row>
    <row r="723">
      <c r="F723" s="107"/>
    </row>
    <row r="724">
      <c r="F724" s="107"/>
    </row>
    <row r="725">
      <c r="F725" s="107"/>
    </row>
    <row r="726">
      <c r="F726" s="107"/>
    </row>
    <row r="727">
      <c r="F727" s="107"/>
    </row>
    <row r="728">
      <c r="F728" s="107"/>
    </row>
    <row r="729">
      <c r="F729" s="107"/>
    </row>
    <row r="730">
      <c r="F730" s="107"/>
    </row>
    <row r="731">
      <c r="F731" s="107"/>
    </row>
    <row r="732">
      <c r="F732" s="107"/>
    </row>
    <row r="733">
      <c r="F733" s="107"/>
    </row>
    <row r="734">
      <c r="F734" s="107"/>
    </row>
    <row r="735">
      <c r="F735" s="107"/>
    </row>
    <row r="736">
      <c r="F736" s="107"/>
    </row>
    <row r="737">
      <c r="F737" s="107"/>
    </row>
    <row r="738">
      <c r="F738" s="107"/>
    </row>
    <row r="739">
      <c r="F739" s="107"/>
    </row>
    <row r="740">
      <c r="F740" s="107"/>
    </row>
    <row r="741">
      <c r="F741" s="107"/>
    </row>
    <row r="742">
      <c r="F742" s="107"/>
    </row>
    <row r="743">
      <c r="F743" s="107"/>
    </row>
    <row r="744">
      <c r="F744" s="107"/>
    </row>
    <row r="745">
      <c r="F745" s="107"/>
    </row>
    <row r="746">
      <c r="F746" s="107"/>
    </row>
    <row r="747">
      <c r="F747" s="107"/>
    </row>
    <row r="748">
      <c r="F748" s="107"/>
    </row>
    <row r="749">
      <c r="F749" s="107"/>
    </row>
    <row r="750">
      <c r="F750" s="107"/>
    </row>
    <row r="751">
      <c r="F751" s="107"/>
    </row>
    <row r="752">
      <c r="F752" s="107"/>
    </row>
    <row r="753">
      <c r="F753" s="107"/>
    </row>
    <row r="754">
      <c r="F754" s="107"/>
    </row>
    <row r="755">
      <c r="F755" s="107"/>
    </row>
    <row r="756">
      <c r="F756" s="107"/>
    </row>
    <row r="757">
      <c r="F757" s="107"/>
    </row>
    <row r="758">
      <c r="F758" s="107"/>
    </row>
    <row r="759">
      <c r="F759" s="107"/>
    </row>
    <row r="760">
      <c r="F760" s="107"/>
    </row>
    <row r="761">
      <c r="F761" s="107"/>
    </row>
    <row r="762">
      <c r="F762" s="107"/>
    </row>
    <row r="763">
      <c r="F763" s="107"/>
    </row>
    <row r="764">
      <c r="F764" s="107"/>
    </row>
    <row r="765">
      <c r="F765" s="107"/>
    </row>
    <row r="766">
      <c r="F766" s="107"/>
    </row>
    <row r="767">
      <c r="F767" s="107"/>
    </row>
    <row r="768">
      <c r="F768" s="107"/>
    </row>
    <row r="769">
      <c r="F769" s="107"/>
    </row>
    <row r="770">
      <c r="F770" s="107"/>
    </row>
    <row r="771">
      <c r="F771" s="107"/>
    </row>
    <row r="772">
      <c r="F772" s="107"/>
    </row>
    <row r="773">
      <c r="F773" s="107"/>
    </row>
    <row r="774">
      <c r="F774" s="107"/>
    </row>
    <row r="775">
      <c r="F775" s="107"/>
    </row>
    <row r="776">
      <c r="F776" s="107"/>
    </row>
    <row r="777">
      <c r="F777" s="107"/>
    </row>
    <row r="778">
      <c r="F778" s="107"/>
    </row>
    <row r="779">
      <c r="F779" s="107"/>
    </row>
    <row r="780">
      <c r="F780" s="107"/>
    </row>
    <row r="781">
      <c r="F781" s="107"/>
    </row>
    <row r="782">
      <c r="F782" s="107"/>
    </row>
    <row r="783">
      <c r="F783" s="107"/>
    </row>
    <row r="784">
      <c r="F784" s="107"/>
    </row>
    <row r="785">
      <c r="F785" s="107"/>
    </row>
    <row r="786">
      <c r="F786" s="107"/>
    </row>
    <row r="787">
      <c r="F787" s="107"/>
    </row>
    <row r="788">
      <c r="F788" s="107"/>
    </row>
    <row r="789">
      <c r="F789" s="107"/>
    </row>
    <row r="790">
      <c r="F790" s="107"/>
    </row>
    <row r="791">
      <c r="F791" s="107"/>
    </row>
    <row r="792">
      <c r="F792" s="107"/>
    </row>
    <row r="793">
      <c r="F793" s="107"/>
    </row>
    <row r="794">
      <c r="F794" s="107"/>
    </row>
    <row r="795">
      <c r="F795" s="107"/>
    </row>
    <row r="796">
      <c r="F796" s="107"/>
    </row>
    <row r="797">
      <c r="F797" s="107"/>
    </row>
    <row r="798">
      <c r="F798" s="107"/>
    </row>
    <row r="799">
      <c r="F799" s="107"/>
    </row>
    <row r="800">
      <c r="F800" s="107"/>
    </row>
    <row r="801">
      <c r="F801" s="107"/>
    </row>
    <row r="802">
      <c r="F802" s="107"/>
    </row>
    <row r="803">
      <c r="F803" s="107"/>
    </row>
    <row r="804">
      <c r="F804" s="107"/>
    </row>
    <row r="805">
      <c r="F805" s="107"/>
    </row>
    <row r="806">
      <c r="F806" s="107"/>
    </row>
    <row r="807">
      <c r="F807" s="107"/>
    </row>
    <row r="808">
      <c r="F808" s="107"/>
    </row>
    <row r="809">
      <c r="F809" s="107"/>
    </row>
    <row r="810">
      <c r="F810" s="107"/>
    </row>
    <row r="811">
      <c r="F811" s="107"/>
    </row>
    <row r="812">
      <c r="F812" s="107"/>
    </row>
    <row r="813">
      <c r="F813" s="107"/>
    </row>
    <row r="814">
      <c r="F814" s="107"/>
    </row>
    <row r="815">
      <c r="F815" s="107"/>
    </row>
    <row r="816">
      <c r="F816" s="107"/>
    </row>
    <row r="817">
      <c r="F817" s="107"/>
    </row>
    <row r="818">
      <c r="F818" s="107"/>
    </row>
    <row r="819">
      <c r="F819" s="107"/>
    </row>
    <row r="820">
      <c r="F820" s="107"/>
    </row>
    <row r="821">
      <c r="F821" s="107"/>
    </row>
    <row r="822">
      <c r="F822" s="107"/>
    </row>
    <row r="823">
      <c r="F823" s="107"/>
    </row>
    <row r="824">
      <c r="F824" s="107"/>
    </row>
    <row r="825">
      <c r="F825" s="107"/>
    </row>
    <row r="826">
      <c r="F826" s="107"/>
    </row>
    <row r="827">
      <c r="F827" s="107"/>
    </row>
    <row r="828">
      <c r="F828" s="107"/>
    </row>
    <row r="829">
      <c r="F829" s="107"/>
    </row>
    <row r="830">
      <c r="F830" s="107"/>
    </row>
    <row r="831">
      <c r="F831" s="107"/>
    </row>
    <row r="832">
      <c r="F832" s="107"/>
    </row>
    <row r="833">
      <c r="F833" s="107"/>
    </row>
    <row r="834">
      <c r="F834" s="107"/>
    </row>
    <row r="835">
      <c r="F835" s="107"/>
    </row>
    <row r="836">
      <c r="F836" s="107"/>
    </row>
    <row r="837">
      <c r="F837" s="107"/>
    </row>
    <row r="838">
      <c r="F838" s="107"/>
    </row>
    <row r="839">
      <c r="F839" s="107"/>
    </row>
    <row r="840">
      <c r="F840" s="107"/>
    </row>
    <row r="841">
      <c r="F841" s="107"/>
    </row>
    <row r="842">
      <c r="F842" s="107"/>
    </row>
    <row r="843">
      <c r="F843" s="107"/>
    </row>
    <row r="844">
      <c r="F844" s="107"/>
    </row>
    <row r="845">
      <c r="F845" s="107"/>
    </row>
    <row r="846">
      <c r="F846" s="107"/>
    </row>
    <row r="847">
      <c r="F847" s="107"/>
    </row>
    <row r="848">
      <c r="F848" s="107"/>
    </row>
    <row r="849">
      <c r="F849" s="107"/>
    </row>
    <row r="850">
      <c r="F850" s="107"/>
    </row>
    <row r="851">
      <c r="F851" s="107"/>
    </row>
    <row r="852">
      <c r="F852" s="107"/>
    </row>
    <row r="853">
      <c r="F853" s="107"/>
    </row>
    <row r="854">
      <c r="F854" s="107"/>
    </row>
    <row r="855">
      <c r="F855" s="107"/>
    </row>
    <row r="856">
      <c r="F856" s="107"/>
    </row>
    <row r="857">
      <c r="F857" s="107"/>
    </row>
    <row r="858">
      <c r="F858" s="107"/>
    </row>
    <row r="859">
      <c r="F859" s="107"/>
    </row>
    <row r="860">
      <c r="F860" s="107"/>
    </row>
    <row r="861">
      <c r="F861" s="107"/>
    </row>
    <row r="862">
      <c r="F862" s="107"/>
    </row>
    <row r="863">
      <c r="F863" s="107"/>
    </row>
    <row r="864">
      <c r="F864" s="107"/>
    </row>
    <row r="865">
      <c r="F865" s="107"/>
    </row>
    <row r="866">
      <c r="F866" s="107"/>
    </row>
    <row r="867">
      <c r="F867" s="107"/>
    </row>
    <row r="868">
      <c r="F868" s="107"/>
    </row>
    <row r="869">
      <c r="F869" s="107"/>
    </row>
    <row r="870">
      <c r="F870" s="107"/>
    </row>
    <row r="871">
      <c r="F871" s="107"/>
    </row>
    <row r="872">
      <c r="F872" s="107"/>
    </row>
    <row r="873">
      <c r="F873" s="107"/>
    </row>
    <row r="874">
      <c r="F874" s="107"/>
    </row>
    <row r="875">
      <c r="F875" s="107"/>
    </row>
    <row r="876">
      <c r="F876" s="107"/>
    </row>
    <row r="877">
      <c r="F877" s="107"/>
    </row>
    <row r="878">
      <c r="F878" s="107"/>
    </row>
    <row r="879">
      <c r="F879" s="107"/>
    </row>
    <row r="880">
      <c r="F880" s="107"/>
    </row>
    <row r="881">
      <c r="F881" s="107"/>
    </row>
    <row r="882">
      <c r="F882" s="107"/>
    </row>
    <row r="883">
      <c r="F883" s="107"/>
    </row>
    <row r="884">
      <c r="F884" s="107"/>
    </row>
    <row r="885">
      <c r="F885" s="107"/>
    </row>
    <row r="886">
      <c r="F886" s="107"/>
    </row>
    <row r="887">
      <c r="F887" s="107"/>
    </row>
    <row r="888">
      <c r="F888" s="107"/>
    </row>
    <row r="889">
      <c r="F889" s="107"/>
    </row>
    <row r="890">
      <c r="F890" s="107"/>
    </row>
    <row r="891">
      <c r="F891" s="107"/>
    </row>
    <row r="892">
      <c r="F892" s="107"/>
    </row>
    <row r="893">
      <c r="F893" s="107"/>
    </row>
    <row r="894">
      <c r="F894" s="107"/>
    </row>
    <row r="895">
      <c r="F895" s="107"/>
    </row>
    <row r="896">
      <c r="F896" s="107"/>
    </row>
    <row r="897">
      <c r="F897" s="107"/>
    </row>
    <row r="898">
      <c r="F898" s="107"/>
    </row>
    <row r="899">
      <c r="F899" s="107"/>
    </row>
    <row r="900">
      <c r="F900" s="107"/>
    </row>
    <row r="901">
      <c r="F901" s="107"/>
    </row>
    <row r="902">
      <c r="F902" s="107"/>
    </row>
    <row r="903">
      <c r="F903" s="107"/>
    </row>
    <row r="904">
      <c r="F904" s="107"/>
    </row>
    <row r="905">
      <c r="F905" s="107"/>
    </row>
    <row r="906">
      <c r="F906" s="107"/>
    </row>
    <row r="907">
      <c r="F907" s="107"/>
    </row>
    <row r="908">
      <c r="F908" s="107"/>
    </row>
    <row r="909">
      <c r="F909" s="107"/>
    </row>
    <row r="910">
      <c r="F910" s="107"/>
    </row>
    <row r="911">
      <c r="F911" s="107"/>
    </row>
    <row r="912">
      <c r="F912" s="107"/>
    </row>
    <row r="913">
      <c r="F913" s="107"/>
    </row>
    <row r="914">
      <c r="F914" s="107"/>
    </row>
    <row r="915">
      <c r="F915" s="107"/>
    </row>
    <row r="916">
      <c r="F916" s="107"/>
    </row>
    <row r="917">
      <c r="F917" s="107"/>
    </row>
    <row r="918">
      <c r="F918" s="107"/>
    </row>
    <row r="919">
      <c r="F919" s="107"/>
    </row>
    <row r="920">
      <c r="F920" s="107"/>
    </row>
    <row r="921">
      <c r="F921" s="107"/>
    </row>
    <row r="922">
      <c r="F922" s="107"/>
    </row>
    <row r="923">
      <c r="F923" s="107"/>
    </row>
    <row r="924">
      <c r="F924" s="107"/>
    </row>
    <row r="925">
      <c r="F925" s="107"/>
    </row>
    <row r="926">
      <c r="F926" s="107"/>
    </row>
    <row r="927">
      <c r="F927" s="107"/>
    </row>
    <row r="928">
      <c r="F928" s="107"/>
    </row>
    <row r="929">
      <c r="F929" s="107"/>
    </row>
    <row r="930">
      <c r="F930" s="107"/>
    </row>
    <row r="931">
      <c r="F931" s="107"/>
    </row>
    <row r="932">
      <c r="F932" s="107"/>
    </row>
    <row r="933">
      <c r="F933" s="107"/>
    </row>
    <row r="934">
      <c r="F934" s="107"/>
    </row>
    <row r="935">
      <c r="F935" s="107"/>
    </row>
    <row r="936">
      <c r="F936" s="107"/>
    </row>
    <row r="937">
      <c r="F937" s="107"/>
    </row>
    <row r="938">
      <c r="F938" s="107"/>
    </row>
    <row r="939">
      <c r="F939" s="107"/>
    </row>
    <row r="940">
      <c r="F940" s="107"/>
    </row>
    <row r="941">
      <c r="F941" s="107"/>
    </row>
    <row r="942">
      <c r="F942" s="107"/>
    </row>
    <row r="943">
      <c r="F943" s="107"/>
    </row>
    <row r="944">
      <c r="F944" s="107"/>
    </row>
    <row r="945">
      <c r="F945" s="107"/>
    </row>
    <row r="946">
      <c r="F946" s="107"/>
    </row>
    <row r="947">
      <c r="F947" s="107"/>
    </row>
    <row r="948">
      <c r="F948" s="107"/>
    </row>
    <row r="949">
      <c r="F949" s="107"/>
    </row>
    <row r="950">
      <c r="F950" s="107"/>
    </row>
    <row r="951">
      <c r="F951" s="107"/>
    </row>
    <row r="952">
      <c r="F952" s="107"/>
    </row>
    <row r="953">
      <c r="F953" s="107"/>
    </row>
    <row r="954">
      <c r="F954" s="107"/>
    </row>
    <row r="955">
      <c r="F955" s="107"/>
    </row>
    <row r="956">
      <c r="F956" s="107"/>
    </row>
    <row r="957">
      <c r="F957" s="107"/>
    </row>
    <row r="958">
      <c r="F958" s="107"/>
    </row>
    <row r="959">
      <c r="F959" s="107"/>
    </row>
    <row r="960">
      <c r="F960" s="107"/>
    </row>
    <row r="961">
      <c r="F961" s="107"/>
    </row>
    <row r="962">
      <c r="F962" s="107"/>
    </row>
    <row r="963">
      <c r="F963" s="107"/>
    </row>
    <row r="964">
      <c r="F964" s="107"/>
    </row>
    <row r="965">
      <c r="F965" s="107"/>
    </row>
    <row r="966">
      <c r="F966" s="107"/>
    </row>
    <row r="967">
      <c r="F967" s="107"/>
    </row>
    <row r="968">
      <c r="F968" s="107"/>
    </row>
    <row r="969">
      <c r="F969" s="107"/>
    </row>
    <row r="970">
      <c r="F970" s="107"/>
    </row>
    <row r="971">
      <c r="F971" s="107"/>
    </row>
    <row r="972">
      <c r="F972" s="107"/>
    </row>
    <row r="973">
      <c r="F973" s="107"/>
    </row>
    <row r="974">
      <c r="F974" s="107"/>
    </row>
    <row r="975">
      <c r="F975" s="107"/>
    </row>
    <row r="976">
      <c r="F976" s="107"/>
    </row>
    <row r="977">
      <c r="F977" s="107"/>
    </row>
    <row r="978">
      <c r="F978" s="107"/>
    </row>
    <row r="979">
      <c r="F979" s="107"/>
    </row>
    <row r="980">
      <c r="F980" s="107"/>
    </row>
    <row r="981">
      <c r="F981" s="107"/>
    </row>
    <row r="982">
      <c r="F982" s="107"/>
    </row>
    <row r="983">
      <c r="F983" s="107"/>
    </row>
    <row r="984">
      <c r="F984" s="107"/>
    </row>
    <row r="985">
      <c r="F985" s="107"/>
    </row>
    <row r="986">
      <c r="F986" s="107"/>
    </row>
    <row r="987">
      <c r="F987" s="107"/>
    </row>
    <row r="988">
      <c r="F988" s="107"/>
    </row>
    <row r="989">
      <c r="F989" s="107"/>
    </row>
    <row r="990">
      <c r="F990" s="107"/>
    </row>
    <row r="991">
      <c r="F991" s="107"/>
    </row>
    <row r="992">
      <c r="F992" s="107"/>
    </row>
    <row r="993">
      <c r="F993" s="107"/>
    </row>
    <row r="994">
      <c r="F994" s="107"/>
    </row>
    <row r="995">
      <c r="F995" s="107"/>
    </row>
    <row r="996">
      <c r="F996" s="107"/>
    </row>
    <row r="997">
      <c r="F997" s="107"/>
    </row>
    <row r="998">
      <c r="F998" s="107"/>
    </row>
    <row r="999">
      <c r="F999" s="107"/>
    </row>
    <row r="1000">
      <c r="F1000" s="107"/>
    </row>
  </sheetData>
  <mergeCells count="2">
    <mergeCell ref="A1:R1"/>
    <mergeCell ref="A2:R2"/>
  </mergeCells>
  <conditionalFormatting sqref="O4:O120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7.0"/>
    <col customWidth="1" min="2" max="2" width="17.5"/>
    <col customWidth="1" min="15" max="15" width="14.38"/>
    <col customWidth="1" min="16" max="16" width="10.75"/>
    <col customWidth="1" min="17" max="17" width="24.75"/>
    <col customWidth="1" min="18" max="18" width="14.88"/>
    <col customWidth="1" min="19" max="19" width="10.75"/>
    <col customWidth="1" min="20" max="20" width="24.75"/>
  </cols>
  <sheetData>
    <row r="1">
      <c r="A1" s="84" t="s">
        <v>498</v>
      </c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</row>
    <row r="2">
      <c r="A2" s="85"/>
      <c r="N2" s="102"/>
      <c r="O2" s="103" t="s">
        <v>502</v>
      </c>
      <c r="R2" s="103" t="s">
        <v>503</v>
      </c>
      <c r="U2" s="102"/>
      <c r="V2" s="102"/>
      <c r="W2" s="102"/>
      <c r="X2" s="102"/>
    </row>
    <row r="3">
      <c r="A3" s="86" t="s">
        <v>7</v>
      </c>
      <c r="B3" s="86" t="s">
        <v>8</v>
      </c>
      <c r="C3" s="86" t="s">
        <v>9</v>
      </c>
      <c r="D3" s="88" t="s">
        <v>505</v>
      </c>
      <c r="E3" s="86" t="s">
        <v>507</v>
      </c>
      <c r="F3" s="86" t="s">
        <v>415</v>
      </c>
      <c r="G3" s="86" t="s">
        <v>18</v>
      </c>
      <c r="H3" s="86" t="s">
        <v>372</v>
      </c>
      <c r="I3" s="86" t="s">
        <v>381</v>
      </c>
      <c r="J3" s="86" t="s">
        <v>375</v>
      </c>
      <c r="K3" s="86" t="s">
        <v>378</v>
      </c>
      <c r="L3" s="86" t="s">
        <v>24</v>
      </c>
      <c r="M3" s="86" t="s">
        <v>25</v>
      </c>
      <c r="N3" s="102"/>
      <c r="O3" s="104" t="s">
        <v>8</v>
      </c>
      <c r="P3" s="105" t="s">
        <v>24</v>
      </c>
      <c r="Q3" s="104" t="s">
        <v>509</v>
      </c>
      <c r="R3" s="104" t="s">
        <v>8</v>
      </c>
      <c r="S3" s="105" t="s">
        <v>24</v>
      </c>
      <c r="T3" s="104" t="s">
        <v>509</v>
      </c>
      <c r="U3" s="102"/>
      <c r="V3" s="102"/>
      <c r="W3" s="102"/>
      <c r="X3" s="102"/>
    </row>
    <row r="4">
      <c r="A4" s="89">
        <v>1.0</v>
      </c>
      <c r="B4" s="90" t="s">
        <v>59</v>
      </c>
      <c r="C4" s="90" t="s">
        <v>61</v>
      </c>
      <c r="D4" s="90" t="str">
        <f>IF('2017 Assembly'!G4='2022 Assembly'!G4, "NO", "YES")</f>
        <v>YES</v>
      </c>
      <c r="E4" s="90">
        <f t="shared" ref="E4:E120" si="1">IF(D4="YES",100,0)</f>
        <v>100</v>
      </c>
      <c r="F4" s="91">
        <f>'2017 Assembly'!O4</f>
        <v>15.04</v>
      </c>
      <c r="G4" s="91">
        <f>'2022 Assembly'!O4</f>
        <v>3.61</v>
      </c>
      <c r="H4" s="91">
        <f t="shared" ref="H4:H120" si="2">MIN(100,ABS(G4-F4)*4)</f>
        <v>45.72</v>
      </c>
      <c r="I4" s="91">
        <f>IF(ISBLANK('Assembly Competitiveness'!J4),0,IF(ISNUMBER(SEARCH("retained",'Assembly Competitiveness'!J4)),30,100))</f>
        <v>0</v>
      </c>
      <c r="J4" s="91">
        <f>MIN(100,ABS('Assembly Trajectories'!M4)*10)</f>
        <v>22.7</v>
      </c>
      <c r="K4" s="91">
        <f>'Assembly Competitiveness'!N4</f>
        <v>100</v>
      </c>
      <c r="L4" s="89">
        <f t="shared" ref="L4:L120" si="3">0.3*E4+0.25*H4+0.25*I4+0.1*J4+0.1*K4</f>
        <v>53.7</v>
      </c>
      <c r="M4" s="90" t="str">
        <f t="shared" ref="M4:M120" si="4">IF(L4&gt;=70,"Very High",IF(L4&gt;=55,"High",IF(L4&gt;=40,"Medium","Low")))</f>
        <v>Medium</v>
      </c>
      <c r="N4" s="102"/>
      <c r="O4" s="90" t="s">
        <v>220</v>
      </c>
      <c r="P4" s="106">
        <f t="shared" ref="P4:P23" si="5">_xlfn.XLOOKUP(O4,$B$4:$B$120, $L$4:$L$120,"")</f>
        <v>75.46</v>
      </c>
      <c r="Q4" s="106" t="str">
        <f>VLOOKUP(O4, 'LS Segments'!$B$2:$P$120, 15, 0)</f>
        <v>INC → INC → AAP → BJP</v>
      </c>
      <c r="R4" s="90" t="s">
        <v>469</v>
      </c>
      <c r="S4" s="6">
        <f t="shared" ref="S4:S23" si="6">_xlfn.XLOOKUP(R4, $B$4:$B$120, $L$4:$L$120, "")</f>
        <v>3.82</v>
      </c>
      <c r="T4" s="106" t="str">
        <f>VLOOKUP(R4, 'LS Segments'!$B$2:$P$120, 15, 0)</f>
        <v>AAP → INC → AAP → AAP</v>
      </c>
      <c r="U4" s="102"/>
      <c r="V4" s="102"/>
      <c r="W4" s="102"/>
      <c r="X4" s="102"/>
    </row>
    <row r="5">
      <c r="A5" s="89">
        <v>2.0</v>
      </c>
      <c r="B5" s="90" t="s">
        <v>216</v>
      </c>
      <c r="C5" s="90" t="s">
        <v>61</v>
      </c>
      <c r="D5" s="90" t="str">
        <f>IF('2017 Assembly'!G5='2022 Assembly'!G5, "NO", "YES")</f>
        <v>YES</v>
      </c>
      <c r="E5" s="90">
        <f t="shared" si="1"/>
        <v>100</v>
      </c>
      <c r="F5" s="91">
        <f>'2017 Assembly'!O5</f>
        <v>21.05</v>
      </c>
      <c r="G5" s="91">
        <f>'2022 Assembly'!O5</f>
        <v>0.88</v>
      </c>
      <c r="H5" s="91">
        <f t="shared" si="2"/>
        <v>80.68</v>
      </c>
      <c r="I5" s="91">
        <f>IF(ISBLANK('Assembly Competitiveness'!J5),0,IF(ISNUMBER(SEARCH("retained",'Assembly Competitiveness'!J5)),30,100))</f>
        <v>0</v>
      </c>
      <c r="J5" s="91">
        <f>MIN(100,ABS('Assembly Trajectories'!M5)*10)</f>
        <v>13.3</v>
      </c>
      <c r="K5" s="91">
        <f>'Assembly Competitiveness'!N5</f>
        <v>100</v>
      </c>
      <c r="L5" s="89">
        <f t="shared" si="3"/>
        <v>61.5</v>
      </c>
      <c r="M5" s="90" t="str">
        <f t="shared" si="4"/>
        <v>High</v>
      </c>
      <c r="N5" s="102"/>
      <c r="O5" s="90" t="s">
        <v>485</v>
      </c>
      <c r="P5" s="106">
        <f t="shared" si="5"/>
        <v>72.77</v>
      </c>
      <c r="Q5" s="106" t="str">
        <f>VLOOKUP(O5, 'LS Segments'!$B$2:$P$120, 15, 0)</f>
        <v>INC → LIP → AAP → INC</v>
      </c>
      <c r="R5" s="90" t="s">
        <v>276</v>
      </c>
      <c r="S5" s="6">
        <f t="shared" si="6"/>
        <v>3.92</v>
      </c>
      <c r="T5" s="106" t="str">
        <f>VLOOKUP(R5, 'LS Segments'!$B$2:$P$120, 15, 0)</f>
        <v>INC → INC → INC → INC</v>
      </c>
      <c r="U5" s="102"/>
      <c r="V5" s="102"/>
      <c r="W5" s="102"/>
      <c r="X5" s="102"/>
    </row>
    <row r="6">
      <c r="A6" s="89">
        <v>3.0</v>
      </c>
      <c r="B6" s="90" t="s">
        <v>60</v>
      </c>
      <c r="C6" s="90" t="s">
        <v>61</v>
      </c>
      <c r="D6" s="90" t="str">
        <f>IF('2017 Assembly'!G6='2022 Assembly'!G6, "NO", "YES")</f>
        <v>YES</v>
      </c>
      <c r="E6" s="90">
        <f t="shared" si="1"/>
        <v>100</v>
      </c>
      <c r="F6" s="91">
        <f>'2017 Assembly'!O6</f>
        <v>10.16</v>
      </c>
      <c r="G6" s="91">
        <f>'2022 Assembly'!O6</f>
        <v>6.88</v>
      </c>
      <c r="H6" s="91">
        <f t="shared" si="2"/>
        <v>13.12</v>
      </c>
      <c r="I6" s="91">
        <f>IF(ISBLANK('Assembly Competitiveness'!J6),0,IF(ISNUMBER(SEARCH("retained",'Assembly Competitiveness'!J6)),30,100))</f>
        <v>0</v>
      </c>
      <c r="J6" s="91">
        <f>MIN(100,ABS('Assembly Trajectories'!M6)*10)</f>
        <v>16.9</v>
      </c>
      <c r="K6" s="91">
        <f>'Assembly Competitiveness'!N6</f>
        <v>0</v>
      </c>
      <c r="L6" s="89">
        <f t="shared" si="3"/>
        <v>34.97</v>
      </c>
      <c r="M6" s="90" t="str">
        <f t="shared" si="4"/>
        <v>Low</v>
      </c>
      <c r="N6" s="102"/>
      <c r="O6" s="90" t="s">
        <v>34</v>
      </c>
      <c r="P6" s="106">
        <f t="shared" si="5"/>
        <v>71.43</v>
      </c>
      <c r="Q6" s="106" t="str">
        <f>VLOOKUP(O6, 'LS Segments'!$B$2:$P$120, 15, 0)</f>
        <v>AAP → LIP → SAD → INC</v>
      </c>
      <c r="R6" s="90" t="s">
        <v>263</v>
      </c>
      <c r="S6" s="6">
        <f t="shared" si="6"/>
        <v>5.02</v>
      </c>
      <c r="T6" s="106" t="str">
        <f>VLOOKUP(R6, 'LS Segments'!$B$2:$P$120, 15, 0)</f>
        <v>INC → INC → INC → INC</v>
      </c>
      <c r="U6" s="102"/>
      <c r="V6" s="102"/>
      <c r="W6" s="102"/>
      <c r="X6" s="102"/>
    </row>
    <row r="7">
      <c r="A7" s="89">
        <v>4.0</v>
      </c>
      <c r="B7" s="90" t="s">
        <v>244</v>
      </c>
      <c r="C7" s="90" t="s">
        <v>61</v>
      </c>
      <c r="D7" s="90" t="str">
        <f>IF('2017 Assembly'!G7='2022 Assembly'!G7, "NO", "YES")</f>
        <v>NO</v>
      </c>
      <c r="E7" s="90">
        <f t="shared" si="1"/>
        <v>0</v>
      </c>
      <c r="F7" s="91">
        <f>'2017 Assembly'!O7</f>
        <v>24.79</v>
      </c>
      <c r="G7" s="91">
        <f>'2022 Assembly'!O7</f>
        <v>5.94</v>
      </c>
      <c r="H7" s="91">
        <f t="shared" si="2"/>
        <v>75.4</v>
      </c>
      <c r="I7" s="91">
        <f>IF(ISBLANK('Assembly Competitiveness'!J7),0,IF(ISNUMBER(SEARCH("retained",'Assembly Competitiveness'!J7)),30,100))</f>
        <v>0</v>
      </c>
      <c r="J7" s="91">
        <f>MIN(100,ABS('Assembly Trajectories'!M7)*10)</f>
        <v>28.7</v>
      </c>
      <c r="K7" s="91">
        <f>'Assembly Competitiveness'!N7</f>
        <v>0</v>
      </c>
      <c r="L7" s="89">
        <f t="shared" si="3"/>
        <v>21.72</v>
      </c>
      <c r="M7" s="90" t="str">
        <f t="shared" si="4"/>
        <v>Low</v>
      </c>
      <c r="N7" s="102"/>
      <c r="O7" s="90" t="s">
        <v>215</v>
      </c>
      <c r="P7" s="106">
        <f t="shared" si="5"/>
        <v>69.04</v>
      </c>
      <c r="Q7" s="106" t="str">
        <f>VLOOKUP(O7, 'LS Segments'!$B$2:$P$120, 15, 0)</f>
        <v>INC → SAD → AAP → BJP</v>
      </c>
      <c r="R7" s="90" t="s">
        <v>253</v>
      </c>
      <c r="S7" s="6">
        <f t="shared" si="6"/>
        <v>5.61</v>
      </c>
      <c r="T7" s="106" t="str">
        <f>VLOOKUP(R7, 'LS Segments'!$B$2:$P$120, 15, 0)</f>
        <v>INC → BJP → INC → INC</v>
      </c>
      <c r="U7" s="102"/>
      <c r="V7" s="102"/>
      <c r="W7" s="102"/>
      <c r="X7" s="102"/>
    </row>
    <row r="8">
      <c r="A8" s="89">
        <v>5.0</v>
      </c>
      <c r="B8" s="90" t="s">
        <v>249</v>
      </c>
      <c r="C8" s="90" t="s">
        <v>61</v>
      </c>
      <c r="D8" s="90" t="str">
        <f>IF('2017 Assembly'!G8='2022 Assembly'!G8, "NO", "YES")</f>
        <v>NO</v>
      </c>
      <c r="E8" s="90">
        <f t="shared" si="1"/>
        <v>0</v>
      </c>
      <c r="F8" s="91">
        <f>'2017 Assembly'!O8</f>
        <v>24.69</v>
      </c>
      <c r="G8" s="91">
        <f>'2022 Assembly'!O8</f>
        <v>0.81</v>
      </c>
      <c r="H8" s="91">
        <f t="shared" si="2"/>
        <v>95.52</v>
      </c>
      <c r="I8" s="91">
        <f>IF(ISBLANK('Assembly Competitiveness'!J8),0,IF(ISNUMBER(SEARCH("retained",'Assembly Competitiveness'!J8)),30,100))</f>
        <v>0</v>
      </c>
      <c r="J8" s="91">
        <f>MIN(100,ABS('Assembly Trajectories'!M8)*10)</f>
        <v>1</v>
      </c>
      <c r="K8" s="91">
        <f>'Assembly Competitiveness'!N8</f>
        <v>0</v>
      </c>
      <c r="L8" s="89">
        <f t="shared" si="3"/>
        <v>23.98</v>
      </c>
      <c r="M8" s="90" t="str">
        <f t="shared" si="4"/>
        <v>Low</v>
      </c>
      <c r="N8" s="102"/>
      <c r="O8" s="90" t="s">
        <v>514</v>
      </c>
      <c r="P8" s="106">
        <f t="shared" si="5"/>
        <v>68.42</v>
      </c>
      <c r="Q8" s="106" t="str">
        <f>VLOOKUP(O8, 'LS Segments'!$B$2:$P$120, 15, 0)</f>
        <v>INC → SAD → AAP → SAD</v>
      </c>
      <c r="R8" s="90" t="s">
        <v>465</v>
      </c>
      <c r="S8" s="6">
        <f t="shared" si="6"/>
        <v>6.08</v>
      </c>
      <c r="T8" s="106" t="str">
        <f>VLOOKUP(R8, 'LS Segments'!$B$2:$P$120, 15, 0)</f>
        <v>AAP → INC → AAP → AAP</v>
      </c>
      <c r="U8" s="102"/>
      <c r="V8" s="102"/>
      <c r="W8" s="102"/>
      <c r="X8" s="102"/>
    </row>
    <row r="9">
      <c r="A9" s="89">
        <v>6.0</v>
      </c>
      <c r="B9" s="90" t="s">
        <v>253</v>
      </c>
      <c r="C9" s="90" t="s">
        <v>61</v>
      </c>
      <c r="D9" s="90" t="str">
        <f>IF('2017 Assembly'!G9='2022 Assembly'!G9, "NO", "YES")</f>
        <v>NO</v>
      </c>
      <c r="E9" s="90">
        <f t="shared" si="1"/>
        <v>0</v>
      </c>
      <c r="F9" s="91">
        <f>'2017 Assembly'!O9</f>
        <v>8.97</v>
      </c>
      <c r="G9" s="91">
        <f>'2022 Assembly'!O9</f>
        <v>5.42</v>
      </c>
      <c r="H9" s="91">
        <f t="shared" si="2"/>
        <v>14.2</v>
      </c>
      <c r="I9" s="91">
        <f>IF(ISBLANK('Assembly Competitiveness'!J9),0,IF(ISNUMBER(SEARCH("retained",'Assembly Competitiveness'!J9)),30,100))</f>
        <v>0</v>
      </c>
      <c r="J9" s="91">
        <f>MIN(100,ABS('Assembly Trajectories'!M9)*10)</f>
        <v>20.6</v>
      </c>
      <c r="K9" s="91">
        <f>'Assembly Competitiveness'!N9</f>
        <v>0</v>
      </c>
      <c r="L9" s="89">
        <f t="shared" si="3"/>
        <v>5.61</v>
      </c>
      <c r="M9" s="90" t="str">
        <f t="shared" si="4"/>
        <v>Low</v>
      </c>
      <c r="N9" s="102"/>
      <c r="O9" s="90" t="s">
        <v>479</v>
      </c>
      <c r="P9" s="106">
        <f t="shared" si="5"/>
        <v>68.31</v>
      </c>
      <c r="Q9" s="106" t="str">
        <f>VLOOKUP(O9, 'LS Segments'!$B$2:$P$120, 15, 0)</f>
        <v>INC → INC → AAP → BJP</v>
      </c>
      <c r="R9" s="90" t="s">
        <v>279</v>
      </c>
      <c r="S9" s="6">
        <f t="shared" si="6"/>
        <v>6.42</v>
      </c>
      <c r="T9" s="106" t="str">
        <f>VLOOKUP(R9, 'LS Segments'!$B$2:$P$120, 15, 0)</f>
        <v>SAD → BJP → SAD → SAD</v>
      </c>
      <c r="U9" s="102"/>
      <c r="V9" s="102"/>
      <c r="W9" s="102"/>
      <c r="X9" s="102"/>
    </row>
    <row r="10">
      <c r="A10" s="89">
        <v>7.0</v>
      </c>
      <c r="B10" s="90" t="s">
        <v>256</v>
      </c>
      <c r="C10" s="90" t="s">
        <v>61</v>
      </c>
      <c r="D10" s="90" t="str">
        <f>IF('2017 Assembly'!G10='2022 Assembly'!G10, "NO", "YES")</f>
        <v>YES</v>
      </c>
      <c r="E10" s="90">
        <f t="shared" si="1"/>
        <v>100</v>
      </c>
      <c r="F10" s="91">
        <f>'2017 Assembly'!O10</f>
        <v>0.4</v>
      </c>
      <c r="G10" s="91">
        <f>'2022 Assembly'!O10</f>
        <v>22.44</v>
      </c>
      <c r="H10" s="91">
        <f t="shared" si="2"/>
        <v>88.16</v>
      </c>
      <c r="I10" s="91">
        <f>IF(ISBLANK('Assembly Competitiveness'!J10),0,IF(ISNUMBER(SEARCH("retained",'Assembly Competitiveness'!J10)),30,100))</f>
        <v>0</v>
      </c>
      <c r="J10" s="91">
        <f>MIN(100,ABS('Assembly Trajectories'!M10)*10)</f>
        <v>22.1</v>
      </c>
      <c r="K10" s="91">
        <f>'Assembly Competitiveness'!N10</f>
        <v>100</v>
      </c>
      <c r="L10" s="89">
        <f t="shared" si="3"/>
        <v>64.25</v>
      </c>
      <c r="M10" s="90" t="str">
        <f t="shared" si="4"/>
        <v>High</v>
      </c>
      <c r="N10" s="102"/>
      <c r="O10" s="90" t="s">
        <v>523</v>
      </c>
      <c r="P10" s="106">
        <f t="shared" si="5"/>
        <v>68.28</v>
      </c>
      <c r="Q10" s="106" t="str">
        <f>VLOOKUP(O10, 'LS Segments'!$B$2:$P$120, 15, 0)</f>
        <v>INC → SAD → AAP → SAD</v>
      </c>
      <c r="R10" s="90" t="s">
        <v>518</v>
      </c>
      <c r="S10" s="6">
        <f t="shared" si="6"/>
        <v>12.1</v>
      </c>
      <c r="T10" s="106" t="str">
        <f>VLOOKUP(R10, 'LS Segments'!$B$2:$P$120, 15, 0)</f>
        <v>AAP → INC → AAP → AAP</v>
      </c>
      <c r="U10" s="102"/>
      <c r="V10" s="102"/>
      <c r="W10" s="102"/>
      <c r="X10" s="102"/>
    </row>
    <row r="11">
      <c r="A11" s="89">
        <v>8.0</v>
      </c>
      <c r="B11" s="90" t="s">
        <v>260</v>
      </c>
      <c r="C11" s="90" t="s">
        <v>61</v>
      </c>
      <c r="D11" s="90" t="str">
        <f>IF('2017 Assembly'!G11='2022 Assembly'!G11, "NO", "YES")</f>
        <v>YES</v>
      </c>
      <c r="E11" s="90">
        <f t="shared" si="1"/>
        <v>100</v>
      </c>
      <c r="F11" s="91">
        <f>'2017 Assembly'!O11</f>
        <v>14.6</v>
      </c>
      <c r="G11" s="91">
        <f>'2022 Assembly'!O11</f>
        <v>13.78</v>
      </c>
      <c r="H11" s="91">
        <f t="shared" si="2"/>
        <v>3.28</v>
      </c>
      <c r="I11" s="91">
        <f>IF(ISBLANK('Assembly Competitiveness'!J11),0,IF(ISNUMBER(SEARCH("retained",'Assembly Competitiveness'!J11)),30,100))</f>
        <v>0</v>
      </c>
      <c r="J11" s="91">
        <f>MIN(100,ABS('Assembly Trajectories'!M11)*10)</f>
        <v>38.7</v>
      </c>
      <c r="K11" s="91">
        <f>'Assembly Competitiveness'!N11</f>
        <v>100</v>
      </c>
      <c r="L11" s="89">
        <f t="shared" si="3"/>
        <v>44.69</v>
      </c>
      <c r="M11" s="90" t="str">
        <f t="shared" si="4"/>
        <v>Medium</v>
      </c>
      <c r="N11" s="102"/>
      <c r="O11" s="90" t="s">
        <v>524</v>
      </c>
      <c r="P11" s="106">
        <f t="shared" si="5"/>
        <v>67.27</v>
      </c>
      <c r="Q11" s="106" t="str">
        <f>VLOOKUP(O11, 'LS Segments'!$B$2:$P$120, 15, 0)</f>
        <v>INC → SAD → AAP → BJP</v>
      </c>
      <c r="R11" s="90" t="s">
        <v>540</v>
      </c>
      <c r="S11" s="6">
        <f t="shared" si="6"/>
        <v>13.49</v>
      </c>
      <c r="T11" s="106" t="str">
        <f>VLOOKUP(R11, 'LS Segments'!$B$2:$P$120, 15, 0)</f>
        <v>AAP → AAP → AAP → AAP</v>
      </c>
      <c r="U11" s="102"/>
      <c r="V11" s="102"/>
      <c r="W11" s="102"/>
      <c r="X11" s="102"/>
    </row>
    <row r="12">
      <c r="A12" s="89">
        <v>9.0</v>
      </c>
      <c r="B12" s="90" t="s">
        <v>263</v>
      </c>
      <c r="C12" s="90" t="s">
        <v>61</v>
      </c>
      <c r="D12" s="90" t="str">
        <f>IF('2017 Assembly'!G12='2022 Assembly'!G12, "NO", "YES")</f>
        <v>NO</v>
      </c>
      <c r="E12" s="90">
        <f t="shared" si="1"/>
        <v>0</v>
      </c>
      <c r="F12" s="91">
        <f>'2017 Assembly'!O12</f>
        <v>1.62</v>
      </c>
      <c r="G12" s="91">
        <f>'2022 Assembly'!O12</f>
        <v>4.33</v>
      </c>
      <c r="H12" s="91">
        <f t="shared" si="2"/>
        <v>10.84</v>
      </c>
      <c r="I12" s="91">
        <f>IF(ISBLANK('Assembly Competitiveness'!J12),0,IF(ISNUMBER(SEARCH("retained",'Assembly Competitiveness'!J12)),30,100))</f>
        <v>0</v>
      </c>
      <c r="J12" s="91">
        <f>MIN(100,ABS('Assembly Trajectories'!M12)*10)</f>
        <v>23.1</v>
      </c>
      <c r="K12" s="91">
        <f>'Assembly Competitiveness'!N12</f>
        <v>0</v>
      </c>
      <c r="L12" s="89">
        <f t="shared" si="3"/>
        <v>5.02</v>
      </c>
      <c r="M12" s="90" t="str">
        <f t="shared" si="4"/>
        <v>Low</v>
      </c>
      <c r="N12" s="102"/>
      <c r="O12" s="90" t="s">
        <v>555</v>
      </c>
      <c r="P12" s="106">
        <f t="shared" si="5"/>
        <v>67.2</v>
      </c>
      <c r="Q12" s="106" t="str">
        <f>VLOOKUP(O12, 'LS Segments'!$B$2:$P$120, 15, 0)</f>
        <v>INC → INC → AAP → BJP</v>
      </c>
      <c r="R12" s="90" t="s">
        <v>527</v>
      </c>
      <c r="S12" s="6">
        <f t="shared" si="6"/>
        <v>15.28</v>
      </c>
      <c r="T12" s="106" t="str">
        <f>VLOOKUP(R12, 'LS Segments'!$B$2:$P$120, 15, 0)</f>
        <v>AAP → INC → AAP → SAD</v>
      </c>
      <c r="U12" s="102"/>
      <c r="V12" s="102"/>
      <c r="W12" s="102"/>
      <c r="X12" s="102"/>
    </row>
    <row r="13">
      <c r="A13" s="89">
        <v>10.0</v>
      </c>
      <c r="B13" s="90" t="s">
        <v>252</v>
      </c>
      <c r="C13" s="90" t="s">
        <v>61</v>
      </c>
      <c r="D13" s="90" t="str">
        <f>IF('2017 Assembly'!G13='2022 Assembly'!G13, "NO", "YES")</f>
        <v>NO</v>
      </c>
      <c r="E13" s="90">
        <f t="shared" si="1"/>
        <v>0</v>
      </c>
      <c r="F13" s="91">
        <f>'2017 Assembly'!O13</f>
        <v>0.85</v>
      </c>
      <c r="G13" s="91">
        <f>'2022 Assembly'!O13</f>
        <v>0.33</v>
      </c>
      <c r="H13" s="91">
        <f t="shared" si="2"/>
        <v>2.08</v>
      </c>
      <c r="I13" s="91">
        <f>IF(ISBLANK('Assembly Competitiveness'!J13),0,IF(ISNUMBER(SEARCH("retained",'Assembly Competitiveness'!J13)),30,100))</f>
        <v>100</v>
      </c>
      <c r="J13" s="91">
        <f>MIN(100,ABS('Assembly Trajectories'!M13)*10)</f>
        <v>32.4</v>
      </c>
      <c r="K13" s="91">
        <f>'Assembly Competitiveness'!N13</f>
        <v>0</v>
      </c>
      <c r="L13" s="89">
        <f t="shared" si="3"/>
        <v>28.76</v>
      </c>
      <c r="M13" s="90" t="str">
        <f t="shared" si="4"/>
        <v>Low</v>
      </c>
      <c r="N13" s="102"/>
      <c r="O13" s="90" t="s">
        <v>547</v>
      </c>
      <c r="P13" s="106">
        <f t="shared" si="5"/>
        <v>67.02</v>
      </c>
      <c r="Q13" s="106" t="str">
        <f>VLOOKUP(O13, 'LS Segments'!$B$2:$P$120, 15, 0)</f>
        <v>INC → INC → AAP → INC</v>
      </c>
      <c r="R13" s="90" t="s">
        <v>537</v>
      </c>
      <c r="S13" s="6">
        <f t="shared" si="6"/>
        <v>17.32</v>
      </c>
      <c r="T13" s="106" t="str">
        <f>VLOOKUP(R13, 'LS Segments'!$B$2:$P$120, 15, 0)</f>
        <v>AAP → AAP → AAP → AAP</v>
      </c>
      <c r="U13" s="102"/>
      <c r="V13" s="102"/>
      <c r="W13" s="102"/>
      <c r="X13" s="102"/>
    </row>
    <row r="14">
      <c r="A14" s="89">
        <v>11.0</v>
      </c>
      <c r="B14" s="90" t="s">
        <v>271</v>
      </c>
      <c r="C14" s="90" t="s">
        <v>61</v>
      </c>
      <c r="D14" s="90" t="str">
        <f>IF('2017 Assembly'!G14='2022 Assembly'!G14, "NO", "YES")</f>
        <v>YES</v>
      </c>
      <c r="E14" s="90">
        <f t="shared" si="1"/>
        <v>100</v>
      </c>
      <c r="F14" s="91">
        <f>'2017 Assembly'!O14</f>
        <v>15.48</v>
      </c>
      <c r="G14" s="91">
        <f>'2022 Assembly'!O14</f>
        <v>6.47</v>
      </c>
      <c r="H14" s="91">
        <f t="shared" si="2"/>
        <v>36.04</v>
      </c>
      <c r="I14" s="91">
        <f>IF(ISBLANK('Assembly Competitiveness'!J14),0,IF(ISNUMBER(SEARCH("retained",'Assembly Competitiveness'!J14)),30,100))</f>
        <v>0</v>
      </c>
      <c r="J14" s="91">
        <f>MIN(100,ABS('Assembly Trajectories'!M14)*10)</f>
        <v>50.5</v>
      </c>
      <c r="K14" s="91">
        <f>'Assembly Competitiveness'!N14</f>
        <v>0</v>
      </c>
      <c r="L14" s="89">
        <f t="shared" si="3"/>
        <v>44.06</v>
      </c>
      <c r="M14" s="90" t="str">
        <f t="shared" si="4"/>
        <v>Medium</v>
      </c>
      <c r="N14" s="102"/>
      <c r="O14" s="90" t="s">
        <v>262</v>
      </c>
      <c r="P14" s="106">
        <f t="shared" si="5"/>
        <v>65.35</v>
      </c>
      <c r="Q14" s="106" t="str">
        <f>VLOOKUP(O14, 'LS Segments'!$B$2:$P$120, 15, 0)</f>
        <v>INC → INC → AAP → BJP</v>
      </c>
      <c r="R14" s="90" t="s">
        <v>528</v>
      </c>
      <c r="S14" s="6">
        <f t="shared" si="6"/>
        <v>18.67</v>
      </c>
      <c r="T14" s="106" t="str">
        <f>VLOOKUP(R14, 'LS Segments'!$B$2:$P$120, 15, 0)</f>
        <v>AAP → INC → AAP → AAP</v>
      </c>
      <c r="U14" s="102"/>
      <c r="V14" s="102"/>
      <c r="W14" s="102"/>
      <c r="X14" s="102"/>
    </row>
    <row r="15">
      <c r="A15" s="89">
        <v>12.0</v>
      </c>
      <c r="B15" s="90" t="s">
        <v>276</v>
      </c>
      <c r="C15" s="90" t="s">
        <v>61</v>
      </c>
      <c r="D15" s="90" t="str">
        <f>IF('2017 Assembly'!G15='2022 Assembly'!G15, "NO", "YES")</f>
        <v>NO</v>
      </c>
      <c r="E15" s="90">
        <f t="shared" si="1"/>
        <v>0</v>
      </c>
      <c r="F15" s="91">
        <f>'2017 Assembly'!O15</f>
        <v>4.37</v>
      </c>
      <c r="G15" s="91">
        <f>'2022 Assembly'!O15</f>
        <v>4.14</v>
      </c>
      <c r="H15" s="91">
        <f t="shared" si="2"/>
        <v>0.92</v>
      </c>
      <c r="I15" s="91">
        <f>IF(ISBLANK('Assembly Competitiveness'!J15),0,IF(ISNUMBER(SEARCH("retained",'Assembly Competitiveness'!J15)),30,100))</f>
        <v>0</v>
      </c>
      <c r="J15" s="91">
        <f>MIN(100,ABS('Assembly Trajectories'!M15)*10)</f>
        <v>36.9</v>
      </c>
      <c r="K15" s="91">
        <f>'Assembly Competitiveness'!N15</f>
        <v>0</v>
      </c>
      <c r="L15" s="89">
        <f t="shared" si="3"/>
        <v>3.92</v>
      </c>
      <c r="M15" s="90" t="str">
        <f t="shared" si="4"/>
        <v>Low</v>
      </c>
      <c r="N15" s="102"/>
      <c r="O15" s="90" t="s">
        <v>494</v>
      </c>
      <c r="P15" s="106">
        <f t="shared" si="5"/>
        <v>64.64</v>
      </c>
      <c r="Q15" s="106" t="str">
        <f>VLOOKUP(O15, 'LS Segments'!$B$2:$P$120, 15, 0)</f>
        <v>INC → INC → AAP → IND</v>
      </c>
      <c r="R15" s="90" t="s">
        <v>244</v>
      </c>
      <c r="S15" s="6">
        <f t="shared" si="6"/>
        <v>21.72</v>
      </c>
      <c r="T15" s="106" t="str">
        <f>VLOOKUP(R15, 'LS Segments'!$B$2:$P$120, 15, 0)</f>
        <v>INC → BJP → INC → INC</v>
      </c>
      <c r="U15" s="102"/>
      <c r="V15" s="102"/>
      <c r="W15" s="102"/>
      <c r="X15" s="102"/>
    </row>
    <row r="16">
      <c r="A16" s="89">
        <v>13.0</v>
      </c>
      <c r="B16" s="90" t="s">
        <v>279</v>
      </c>
      <c r="C16" s="90" t="s">
        <v>61</v>
      </c>
      <c r="D16" s="90" t="str">
        <f>IF('2017 Assembly'!G16='2022 Assembly'!G16, "NO", "YES")</f>
        <v>NO</v>
      </c>
      <c r="E16" s="90">
        <f t="shared" si="1"/>
        <v>0</v>
      </c>
      <c r="F16" s="91">
        <f>'2017 Assembly'!O16</f>
        <v>18.81</v>
      </c>
      <c r="G16" s="91">
        <f>'2022 Assembly'!O16</f>
        <v>21.48</v>
      </c>
      <c r="H16" s="91">
        <f t="shared" si="2"/>
        <v>10.68</v>
      </c>
      <c r="I16" s="91">
        <f>IF(ISBLANK('Assembly Competitiveness'!J16),0,IF(ISNUMBER(SEARCH("retained",'Assembly Competitiveness'!J16)),30,100))</f>
        <v>0</v>
      </c>
      <c r="J16" s="91">
        <f>MIN(100,ABS('Assembly Trajectories'!M16)*10)</f>
        <v>37.5</v>
      </c>
      <c r="K16" s="91">
        <f>'Assembly Competitiveness'!N16</f>
        <v>0</v>
      </c>
      <c r="L16" s="89">
        <f t="shared" si="3"/>
        <v>6.42</v>
      </c>
      <c r="M16" s="90" t="str">
        <f t="shared" si="4"/>
        <v>Low</v>
      </c>
      <c r="N16" s="102"/>
      <c r="O16" s="90" t="s">
        <v>256</v>
      </c>
      <c r="P16" s="106">
        <f t="shared" si="5"/>
        <v>64.25</v>
      </c>
      <c r="Q16" s="106" t="str">
        <f>VLOOKUP(O16, 'LS Segments'!$B$2:$P$120, 15, 0)</f>
        <v>SAD → BJP → AAP → INC</v>
      </c>
      <c r="R16" s="90" t="s">
        <v>453</v>
      </c>
      <c r="S16" s="6">
        <f t="shared" si="6"/>
        <v>22.03</v>
      </c>
      <c r="T16" s="106" t="str">
        <f>VLOOKUP(R16, 'LS Segments'!$B$2:$P$120, 15, 0)</f>
        <v>INC → INC → INC → INC</v>
      </c>
      <c r="U16" s="102"/>
      <c r="V16" s="102"/>
      <c r="W16" s="102"/>
      <c r="X16" s="102"/>
    </row>
    <row r="17">
      <c r="A17" s="89">
        <v>14.0</v>
      </c>
      <c r="B17" s="90" t="s">
        <v>282</v>
      </c>
      <c r="C17" s="90" t="s">
        <v>61</v>
      </c>
      <c r="D17" s="90" t="str">
        <f>IF('2017 Assembly'!G17='2022 Assembly'!G17, "NO", "YES")</f>
        <v>YES</v>
      </c>
      <c r="E17" s="90">
        <f t="shared" si="1"/>
        <v>100</v>
      </c>
      <c r="F17" s="91">
        <f>'2017 Assembly'!O17</f>
        <v>14.76</v>
      </c>
      <c r="G17" s="91">
        <f>'2022 Assembly'!O17</f>
        <v>19.87</v>
      </c>
      <c r="H17" s="91">
        <f t="shared" si="2"/>
        <v>20.44</v>
      </c>
      <c r="I17" s="91">
        <f>IF(ISBLANK('Assembly Competitiveness'!J17),0,IF(ISNUMBER(SEARCH("retained",'Assembly Competitiveness'!J17)),30,100))</f>
        <v>0</v>
      </c>
      <c r="J17" s="91">
        <f>MIN(100,ABS('Assembly Trajectories'!M17)*10)</f>
        <v>29.7</v>
      </c>
      <c r="K17" s="91">
        <f>'Assembly Competitiveness'!N17</f>
        <v>100</v>
      </c>
      <c r="L17" s="89">
        <f t="shared" si="3"/>
        <v>48.08</v>
      </c>
      <c r="M17" s="90" t="str">
        <f t="shared" si="4"/>
        <v>Medium</v>
      </c>
      <c r="N17" s="102"/>
      <c r="O17" s="90" t="s">
        <v>510</v>
      </c>
      <c r="P17" s="106">
        <f t="shared" si="5"/>
        <v>64.12</v>
      </c>
      <c r="Q17" s="106" t="str">
        <f>VLOOKUP(O17, 'LS Segments'!$B$2:$P$120, 15, 0)</f>
        <v>INC → SAD → AAP → INC</v>
      </c>
      <c r="R17" s="90" t="s">
        <v>249</v>
      </c>
      <c r="S17" s="6">
        <f t="shared" si="6"/>
        <v>23.98</v>
      </c>
      <c r="T17" s="106" t="str">
        <f>VLOOKUP(R17, 'LS Segments'!$B$2:$P$120, 15, 0)</f>
        <v>INC → BJP → INC → INC</v>
      </c>
      <c r="U17" s="102"/>
      <c r="V17" s="102"/>
      <c r="W17" s="102"/>
      <c r="X17" s="102"/>
    </row>
    <row r="18">
      <c r="A18" s="89">
        <v>15.0</v>
      </c>
      <c r="B18" s="90" t="s">
        <v>300</v>
      </c>
      <c r="C18" s="90" t="s">
        <v>61</v>
      </c>
      <c r="D18" s="90" t="str">
        <f>IF('2017 Assembly'!G18='2022 Assembly'!G18, "NO", "YES")</f>
        <v>YES</v>
      </c>
      <c r="E18" s="90">
        <f t="shared" si="1"/>
        <v>100</v>
      </c>
      <c r="F18" s="91">
        <f>'2017 Assembly'!O18</f>
        <v>12.16</v>
      </c>
      <c r="G18" s="91">
        <f>'2022 Assembly'!O18</f>
        <v>23.03</v>
      </c>
      <c r="H18" s="91">
        <f t="shared" si="2"/>
        <v>43.48</v>
      </c>
      <c r="I18" s="91">
        <f>IF(ISBLANK('Assembly Competitiveness'!J18),0,IF(ISNUMBER(SEARCH("retained",'Assembly Competitiveness'!J18)),30,100))</f>
        <v>0</v>
      </c>
      <c r="J18" s="91">
        <f>MIN(100,ABS('Assembly Trajectories'!M18)*10)</f>
        <v>54.2</v>
      </c>
      <c r="K18" s="91">
        <f>'Assembly Competitiveness'!N18</f>
        <v>100</v>
      </c>
      <c r="L18" s="89">
        <f t="shared" si="3"/>
        <v>56.29</v>
      </c>
      <c r="M18" s="90" t="str">
        <f t="shared" si="4"/>
        <v>High</v>
      </c>
      <c r="N18" s="102"/>
      <c r="O18" s="90" t="s">
        <v>476</v>
      </c>
      <c r="P18" s="106">
        <f t="shared" si="5"/>
        <v>62.59</v>
      </c>
      <c r="Q18" s="106" t="str">
        <f>VLOOKUP(O18, 'LS Segments'!$B$2:$P$120, 15, 0)</f>
        <v>INC → INC → AAP → INC</v>
      </c>
      <c r="R18" s="90" t="s">
        <v>493</v>
      </c>
      <c r="S18" s="6">
        <f t="shared" si="6"/>
        <v>25.81</v>
      </c>
      <c r="T18" s="106" t="str">
        <f>VLOOKUP(R18, 'LS Segments'!$B$2:$P$120, 15, 0)</f>
        <v>AAP → INC → AAP → IND</v>
      </c>
      <c r="U18" s="102"/>
      <c r="V18" s="102"/>
      <c r="W18" s="102"/>
      <c r="X18" s="102"/>
    </row>
    <row r="19">
      <c r="A19" s="89">
        <v>16.0</v>
      </c>
      <c r="B19" s="90" t="s">
        <v>314</v>
      </c>
      <c r="C19" s="90" t="s">
        <v>61</v>
      </c>
      <c r="D19" s="90" t="str">
        <f>IF('2017 Assembly'!G19='2022 Assembly'!G19, "NO", "YES")</f>
        <v>YES</v>
      </c>
      <c r="E19" s="90">
        <f t="shared" si="1"/>
        <v>100</v>
      </c>
      <c r="F19" s="91">
        <f>'2017 Assembly'!O19</f>
        <v>25.15</v>
      </c>
      <c r="G19" s="91">
        <f>'2022 Assembly'!O19</f>
        <v>37.33</v>
      </c>
      <c r="H19" s="91">
        <f t="shared" si="2"/>
        <v>48.72</v>
      </c>
      <c r="I19" s="91">
        <f>IF(ISBLANK('Assembly Competitiveness'!J19),0,IF(ISNUMBER(SEARCH("retained",'Assembly Competitiveness'!J19)),30,100))</f>
        <v>0</v>
      </c>
      <c r="J19" s="91">
        <f>MIN(100,ABS('Assembly Trajectories'!M19)*10)</f>
        <v>41</v>
      </c>
      <c r="K19" s="91">
        <f>'Assembly Competitiveness'!N19</f>
        <v>100</v>
      </c>
      <c r="L19" s="89">
        <f t="shared" si="3"/>
        <v>56.28</v>
      </c>
      <c r="M19" s="90" t="str">
        <f t="shared" si="4"/>
        <v>High</v>
      </c>
      <c r="N19" s="102"/>
      <c r="O19" s="90" t="s">
        <v>303</v>
      </c>
      <c r="P19" s="106">
        <f t="shared" si="5"/>
        <v>62.3</v>
      </c>
      <c r="Q19" s="106" t="str">
        <f>VLOOKUP(O19, 'LS Segments'!$B$2:$P$120, 15, 0)</f>
        <v>INC → INC → AAP → BJP</v>
      </c>
      <c r="R19" s="90" t="s">
        <v>411</v>
      </c>
      <c r="S19" s="6">
        <f t="shared" si="6"/>
        <v>26.13</v>
      </c>
      <c r="T19" s="106" t="str">
        <f>VLOOKUP(R19, 'LS Segments'!$B$2:$P$120, 15, 0)</f>
        <v>INC → INC → INC → INC</v>
      </c>
      <c r="U19" s="102"/>
      <c r="V19" s="102"/>
      <c r="W19" s="102"/>
      <c r="X19" s="102"/>
    </row>
    <row r="20">
      <c r="A20" s="89">
        <v>17.0</v>
      </c>
      <c r="B20" s="90" t="s">
        <v>332</v>
      </c>
      <c r="C20" s="90" t="s">
        <v>61</v>
      </c>
      <c r="D20" s="90" t="str">
        <f>IF('2017 Assembly'!G20='2022 Assembly'!G20, "NO", "YES")</f>
        <v>YES</v>
      </c>
      <c r="E20" s="90">
        <f t="shared" si="1"/>
        <v>100</v>
      </c>
      <c r="F20" s="91">
        <f>'2017 Assembly'!O20</f>
        <v>23.52</v>
      </c>
      <c r="G20" s="91">
        <f>'2022 Assembly'!O20</f>
        <v>16.21</v>
      </c>
      <c r="H20" s="91">
        <f t="shared" si="2"/>
        <v>29.24</v>
      </c>
      <c r="I20" s="91">
        <f>IF(ISBLANK('Assembly Competitiveness'!J20),0,IF(ISNUMBER(SEARCH("retained",'Assembly Competitiveness'!J20)),30,100))</f>
        <v>0</v>
      </c>
      <c r="J20" s="91">
        <f>MIN(100,ABS('Assembly Trajectories'!M20)*10)</f>
        <v>68</v>
      </c>
      <c r="K20" s="91">
        <f>'Assembly Competitiveness'!N20</f>
        <v>100</v>
      </c>
      <c r="L20" s="89">
        <f t="shared" si="3"/>
        <v>54.11</v>
      </c>
      <c r="M20" s="90" t="str">
        <f t="shared" si="4"/>
        <v>Medium</v>
      </c>
      <c r="N20" s="102"/>
      <c r="O20" s="90" t="s">
        <v>559</v>
      </c>
      <c r="P20" s="106">
        <f t="shared" si="5"/>
        <v>61.88</v>
      </c>
      <c r="Q20" s="106" t="str">
        <f>VLOOKUP(O20, 'LS Segments'!$B$2:$P$120, 15, 0)</f>
        <v>INC → INC → AAP → AAP</v>
      </c>
      <c r="R20" s="90" t="s">
        <v>252</v>
      </c>
      <c r="S20" s="6">
        <f t="shared" si="6"/>
        <v>28.76</v>
      </c>
      <c r="T20" s="106" t="str">
        <f>VLOOKUP(R20, 'LS Segments'!$B$2:$P$120, 15, 0)</f>
        <v>INC → INC → INC → INC</v>
      </c>
      <c r="U20" s="102"/>
      <c r="V20" s="102"/>
      <c r="W20" s="102"/>
      <c r="X20" s="102"/>
    </row>
    <row r="21">
      <c r="A21" s="89">
        <v>18.0</v>
      </c>
      <c r="B21" s="90" t="s">
        <v>262</v>
      </c>
      <c r="C21" s="90" t="s">
        <v>61</v>
      </c>
      <c r="D21" s="90" t="str">
        <f>IF('2017 Assembly'!G21='2022 Assembly'!G21, "NO", "YES")</f>
        <v>YES</v>
      </c>
      <c r="E21" s="90">
        <f t="shared" si="1"/>
        <v>100</v>
      </c>
      <c r="F21" s="91">
        <f>'2017 Assembly'!O21</f>
        <v>43.19</v>
      </c>
      <c r="G21" s="91">
        <f>'2022 Assembly'!O21</f>
        <v>6.29</v>
      </c>
      <c r="H21" s="91">
        <f t="shared" si="2"/>
        <v>100</v>
      </c>
      <c r="I21" s="91">
        <f>IF(ISBLANK('Assembly Competitiveness'!J21),0,IF(ISNUMBER(SEARCH("retained",'Assembly Competitiveness'!J21)),30,100))</f>
        <v>0</v>
      </c>
      <c r="J21" s="91">
        <f>MIN(100,ABS('Assembly Trajectories'!M21)*10)</f>
        <v>3.5</v>
      </c>
      <c r="K21" s="91">
        <f>'Assembly Competitiveness'!N21</f>
        <v>100</v>
      </c>
      <c r="L21" s="89">
        <f t="shared" si="3"/>
        <v>65.35</v>
      </c>
      <c r="M21" s="90" t="str">
        <f t="shared" si="4"/>
        <v>High</v>
      </c>
      <c r="N21" s="102"/>
      <c r="O21" s="90" t="s">
        <v>216</v>
      </c>
      <c r="P21" s="106">
        <f t="shared" si="5"/>
        <v>61.5</v>
      </c>
      <c r="Q21" s="106" t="str">
        <f>VLOOKUP(O21, 'LS Segments'!$B$2:$P$120, 15, 0)</f>
        <v>INC → BJP → AAP → BJP</v>
      </c>
      <c r="R21" s="90" t="s">
        <v>534</v>
      </c>
      <c r="S21" s="6">
        <f t="shared" si="6"/>
        <v>28.92</v>
      </c>
      <c r="T21" s="106" t="str">
        <f>VLOOKUP(R21, 'LS Segments'!$B$2:$P$120, 15, 0)</f>
        <v>AAP → AAP → AAP → AAP</v>
      </c>
      <c r="U21" s="102"/>
      <c r="V21" s="102"/>
      <c r="W21" s="102"/>
      <c r="X21" s="102"/>
    </row>
    <row r="22">
      <c r="A22" s="89">
        <v>19.0</v>
      </c>
      <c r="B22" s="90" t="s">
        <v>396</v>
      </c>
      <c r="C22" s="90" t="s">
        <v>61</v>
      </c>
      <c r="D22" s="90" t="str">
        <f>IF('2017 Assembly'!G22='2022 Assembly'!G22, "NO", "YES")</f>
        <v>YES</v>
      </c>
      <c r="E22" s="90">
        <f t="shared" si="1"/>
        <v>100</v>
      </c>
      <c r="F22" s="91">
        <f>'2017 Assembly'!O22</f>
        <v>24.46</v>
      </c>
      <c r="G22" s="91">
        <f>'2022 Assembly'!O22</f>
        <v>26.13</v>
      </c>
      <c r="H22" s="91">
        <f t="shared" si="2"/>
        <v>6.68</v>
      </c>
      <c r="I22" s="91">
        <f>IF(ISBLANK('Assembly Competitiveness'!J22),0,IF(ISNUMBER(SEARCH("retained",'Assembly Competitiveness'!J22)),30,100))</f>
        <v>0</v>
      </c>
      <c r="J22" s="91">
        <f>MIN(100,ABS('Assembly Trajectories'!M22)*10)</f>
        <v>26.7</v>
      </c>
      <c r="K22" s="91">
        <f>'Assembly Competitiveness'!N22</f>
        <v>0</v>
      </c>
      <c r="L22" s="89">
        <f t="shared" si="3"/>
        <v>34.34</v>
      </c>
      <c r="M22" s="90" t="str">
        <f t="shared" si="4"/>
        <v>Low</v>
      </c>
      <c r="N22" s="102"/>
      <c r="O22" s="90" t="s">
        <v>554</v>
      </c>
      <c r="P22" s="106">
        <f t="shared" si="5"/>
        <v>61.25</v>
      </c>
      <c r="Q22" s="106" t="str">
        <f>VLOOKUP(O22, 'LS Segments'!$B$2:$P$120, 15, 0)</f>
        <v>SAD → INC → AAP → AAP</v>
      </c>
      <c r="R22" s="90" t="s">
        <v>529</v>
      </c>
      <c r="S22" s="6">
        <f t="shared" si="6"/>
        <v>29.29</v>
      </c>
      <c r="T22" s="106" t="str">
        <f>VLOOKUP(R22, 'LS Segments'!$B$2:$P$120, 15, 0)</f>
        <v>AAP → INC → AAP → AAP</v>
      </c>
      <c r="U22" s="102"/>
      <c r="V22" s="102"/>
      <c r="W22" s="102"/>
      <c r="X22" s="102"/>
    </row>
    <row r="23">
      <c r="A23" s="89">
        <v>20.0</v>
      </c>
      <c r="B23" s="90" t="s">
        <v>398</v>
      </c>
      <c r="C23" s="90" t="s">
        <v>61</v>
      </c>
      <c r="D23" s="90" t="str">
        <f>IF('2017 Assembly'!G23='2022 Assembly'!G23, "NO", "YES")</f>
        <v>YES</v>
      </c>
      <c r="E23" s="90">
        <f t="shared" si="1"/>
        <v>100</v>
      </c>
      <c r="F23" s="91">
        <f>'2017 Assembly'!O23</f>
        <v>7.9</v>
      </c>
      <c r="G23" s="91">
        <f>'2022 Assembly'!O23</f>
        <v>15.61</v>
      </c>
      <c r="H23" s="91">
        <f t="shared" si="2"/>
        <v>30.84</v>
      </c>
      <c r="I23" s="91">
        <f>IF(ISBLANK('Assembly Competitiveness'!J23),0,IF(ISNUMBER(SEARCH("retained",'Assembly Competitiveness'!J23)),30,100))</f>
        <v>0</v>
      </c>
      <c r="J23" s="91">
        <f>MIN(100,ABS('Assembly Trajectories'!M23)*10)</f>
        <v>72</v>
      </c>
      <c r="K23" s="91">
        <f>'Assembly Competitiveness'!N23</f>
        <v>100</v>
      </c>
      <c r="L23" s="89">
        <f t="shared" si="3"/>
        <v>54.91</v>
      </c>
      <c r="M23" s="90" t="str">
        <f t="shared" si="4"/>
        <v>Medium</v>
      </c>
      <c r="N23" s="102"/>
      <c r="O23" s="90" t="s">
        <v>478</v>
      </c>
      <c r="P23" s="106">
        <f t="shared" si="5"/>
        <v>59.44</v>
      </c>
      <c r="Q23" s="106" t="str">
        <f>VLOOKUP(O23, 'LS Segments'!$B$2:$P$120, 15, 0)</f>
        <v>INC → INC → AAP → INC</v>
      </c>
      <c r="R23" s="90" t="s">
        <v>536</v>
      </c>
      <c r="S23" s="6">
        <f t="shared" si="6"/>
        <v>29.4</v>
      </c>
      <c r="T23" s="106" t="str">
        <f>VLOOKUP(R23, 'LS Segments'!$B$2:$P$120, 15, 0)</f>
        <v>AAP → AAP → AAP → AAP</v>
      </c>
      <c r="U23" s="102"/>
      <c r="V23" s="102"/>
      <c r="W23" s="102"/>
      <c r="X23" s="102"/>
    </row>
    <row r="24">
      <c r="A24" s="89">
        <v>21.0</v>
      </c>
      <c r="B24" s="90" t="s">
        <v>400</v>
      </c>
      <c r="C24" s="90" t="s">
        <v>61</v>
      </c>
      <c r="D24" s="90" t="str">
        <f>IF('2017 Assembly'!G24='2022 Assembly'!G24, "NO", "YES")</f>
        <v>YES</v>
      </c>
      <c r="E24" s="90">
        <f t="shared" si="1"/>
        <v>100</v>
      </c>
      <c r="F24" s="91">
        <f>'2017 Assembly'!O24</f>
        <v>11.1</v>
      </c>
      <c r="G24" s="91">
        <f>'2022 Assembly'!O24</f>
        <v>10.48</v>
      </c>
      <c r="H24" s="91">
        <f t="shared" si="2"/>
        <v>2.48</v>
      </c>
      <c r="I24" s="91">
        <f>IF(ISBLANK('Assembly Competitiveness'!J24),0,IF(ISNUMBER(SEARCH("retained",'Assembly Competitiveness'!J24)),30,100))</f>
        <v>30</v>
      </c>
      <c r="J24" s="91">
        <f>MIN(100,ABS('Assembly Trajectories'!M24)*10)</f>
        <v>58.1</v>
      </c>
      <c r="K24" s="91">
        <f>'Assembly Competitiveness'!N24</f>
        <v>100</v>
      </c>
      <c r="L24" s="89">
        <f t="shared" si="3"/>
        <v>53.93</v>
      </c>
      <c r="M24" s="90" t="str">
        <f t="shared" si="4"/>
        <v>Medium</v>
      </c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</row>
    <row r="25">
      <c r="A25" s="89">
        <v>22.0</v>
      </c>
      <c r="B25" s="90" t="s">
        <v>402</v>
      </c>
      <c r="C25" s="90" t="s">
        <v>61</v>
      </c>
      <c r="D25" s="90" t="str">
        <f>IF('2017 Assembly'!G25='2022 Assembly'!G25, "NO", "YES")</f>
        <v>YES</v>
      </c>
      <c r="E25" s="90">
        <f t="shared" si="1"/>
        <v>100</v>
      </c>
      <c r="F25" s="91">
        <f>'2017 Assembly'!O25</f>
        <v>12.81</v>
      </c>
      <c r="G25" s="91">
        <f>'2022 Assembly'!O25</f>
        <v>7.76</v>
      </c>
      <c r="H25" s="91">
        <f t="shared" si="2"/>
        <v>20.2</v>
      </c>
      <c r="I25" s="91">
        <f>IF(ISBLANK('Assembly Competitiveness'!J25),0,IF(ISNUMBER(SEARCH("retained",'Assembly Competitiveness'!J25)),30,100))</f>
        <v>0</v>
      </c>
      <c r="J25" s="91">
        <f>MIN(100,ABS('Assembly Trajectories'!M25)*10)</f>
        <v>57.3</v>
      </c>
      <c r="K25" s="91">
        <f>'Assembly Competitiveness'!N25</f>
        <v>100</v>
      </c>
      <c r="L25" s="89">
        <f t="shared" si="3"/>
        <v>50.78</v>
      </c>
      <c r="M25" s="90" t="str">
        <f t="shared" si="4"/>
        <v>Medium</v>
      </c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</row>
    <row r="26">
      <c r="A26" s="89">
        <v>23.0</v>
      </c>
      <c r="B26" s="90" t="s">
        <v>404</v>
      </c>
      <c r="C26" s="90" t="s">
        <v>61</v>
      </c>
      <c r="D26" s="90" t="str">
        <f>IF('2017 Assembly'!G26='2022 Assembly'!G26, "NO", "YES")</f>
        <v>YES</v>
      </c>
      <c r="E26" s="90">
        <f t="shared" si="1"/>
        <v>100</v>
      </c>
      <c r="F26" s="91">
        <f>'2017 Assembly'!O26</f>
        <v>5.86</v>
      </c>
      <c r="G26" s="91">
        <f>'2022 Assembly'!O26</f>
        <v>7.65</v>
      </c>
      <c r="H26" s="91">
        <f t="shared" si="2"/>
        <v>7.16</v>
      </c>
      <c r="I26" s="91">
        <f>IF(ISBLANK('Assembly Competitiveness'!J26),0,IF(ISNUMBER(SEARCH("retained",'Assembly Competitiveness'!J26)),30,100))</f>
        <v>0</v>
      </c>
      <c r="J26" s="91">
        <f>MIN(100,ABS('Assembly Trajectories'!M26)*10)</f>
        <v>42.4</v>
      </c>
      <c r="K26" s="91">
        <f>'Assembly Competitiveness'!N26</f>
        <v>100</v>
      </c>
      <c r="L26" s="89">
        <f t="shared" si="3"/>
        <v>46.03</v>
      </c>
      <c r="M26" s="90" t="str">
        <f t="shared" si="4"/>
        <v>Medium</v>
      </c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</row>
    <row r="27">
      <c r="A27" s="89">
        <v>24.0</v>
      </c>
      <c r="B27" s="90" t="s">
        <v>406</v>
      </c>
      <c r="C27" s="90" t="s">
        <v>61</v>
      </c>
      <c r="D27" s="90" t="str">
        <f>IF('2017 Assembly'!G27='2022 Assembly'!G27, "NO", "YES")</f>
        <v>YES</v>
      </c>
      <c r="E27" s="90">
        <f t="shared" si="1"/>
        <v>100</v>
      </c>
      <c r="F27" s="91">
        <f>'2017 Assembly'!O27</f>
        <v>11.72</v>
      </c>
      <c r="G27" s="91">
        <f>'2022 Assembly'!O27</f>
        <v>11.44</v>
      </c>
      <c r="H27" s="91">
        <f t="shared" si="2"/>
        <v>1.12</v>
      </c>
      <c r="I27" s="91">
        <f>IF(ISBLANK('Assembly Competitiveness'!J27),0,IF(ISNUMBER(SEARCH("retained",'Assembly Competitiveness'!J27)),30,100))</f>
        <v>0</v>
      </c>
      <c r="J27" s="91">
        <f>MIN(100,ABS('Assembly Trajectories'!M27)*10)</f>
        <v>35.1</v>
      </c>
      <c r="K27" s="91">
        <f>'Assembly Competitiveness'!N27</f>
        <v>100</v>
      </c>
      <c r="L27" s="89">
        <f t="shared" si="3"/>
        <v>43.79</v>
      </c>
      <c r="M27" s="90" t="str">
        <f t="shared" si="4"/>
        <v>Medium</v>
      </c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</row>
    <row r="28">
      <c r="A28" s="89">
        <v>25.0</v>
      </c>
      <c r="B28" s="90" t="s">
        <v>408</v>
      </c>
      <c r="C28" s="90" t="s">
        <v>61</v>
      </c>
      <c r="D28" s="90" t="str">
        <f>IF('2017 Assembly'!G28='2022 Assembly'!G28, "NO", "YES")</f>
        <v>YES</v>
      </c>
      <c r="E28" s="90">
        <f t="shared" si="1"/>
        <v>100</v>
      </c>
      <c r="F28" s="91">
        <f>'2017 Assembly'!O28</f>
        <v>5.08</v>
      </c>
      <c r="G28" s="91">
        <f>'2022 Assembly'!O28</f>
        <v>15</v>
      </c>
      <c r="H28" s="91">
        <f t="shared" si="2"/>
        <v>39.68</v>
      </c>
      <c r="I28" s="91">
        <f>IF(ISBLANK('Assembly Competitiveness'!J28),0,IF(ISNUMBER(SEARCH("retained",'Assembly Competitiveness'!J28)),30,100))</f>
        <v>0</v>
      </c>
      <c r="J28" s="91">
        <f>MIN(100,ABS('Assembly Trajectories'!M28)*10)</f>
        <v>39.2</v>
      </c>
      <c r="K28" s="91">
        <f>'Assembly Competitiveness'!N28</f>
        <v>100</v>
      </c>
      <c r="L28" s="89">
        <f t="shared" si="3"/>
        <v>53.84</v>
      </c>
      <c r="M28" s="90" t="str">
        <f t="shared" si="4"/>
        <v>Medium</v>
      </c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</row>
    <row r="29">
      <c r="A29" s="89">
        <v>26.0</v>
      </c>
      <c r="B29" s="90" t="s">
        <v>410</v>
      </c>
      <c r="C29" s="90" t="s">
        <v>127</v>
      </c>
      <c r="D29" s="90" t="str">
        <f>IF('2017 Assembly'!G29='2022 Assembly'!G29, "NO", "YES")</f>
        <v>YES</v>
      </c>
      <c r="E29" s="90">
        <f t="shared" si="1"/>
        <v>100</v>
      </c>
      <c r="F29" s="91">
        <f>'2017 Assembly'!O29</f>
        <v>8.41</v>
      </c>
      <c r="G29" s="91">
        <f>'2022 Assembly'!O29</f>
        <v>10.27</v>
      </c>
      <c r="H29" s="91">
        <f t="shared" si="2"/>
        <v>7.44</v>
      </c>
      <c r="I29" s="91">
        <f>IF(ISBLANK('Assembly Competitiveness'!J29),0,IF(ISNUMBER(SEARCH("retained",'Assembly Competitiveness'!J29)),30,100))</f>
        <v>0</v>
      </c>
      <c r="J29" s="91">
        <f>MIN(100,ABS('Assembly Trajectories'!M29)*10)</f>
        <v>84.4</v>
      </c>
      <c r="K29" s="91">
        <f>'Assembly Competitiveness'!N29</f>
        <v>100</v>
      </c>
      <c r="L29" s="89">
        <f t="shared" si="3"/>
        <v>50.3</v>
      </c>
      <c r="M29" s="90" t="str">
        <f t="shared" si="4"/>
        <v>Medium</v>
      </c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</row>
    <row r="30">
      <c r="A30" s="89">
        <v>27.0</v>
      </c>
      <c r="B30" s="90" t="s">
        <v>411</v>
      </c>
      <c r="C30" s="90" t="s">
        <v>127</v>
      </c>
      <c r="D30" s="90" t="str">
        <f>IF('2017 Assembly'!G30='2022 Assembly'!G30, "NO", "YES")</f>
        <v>NO</v>
      </c>
      <c r="E30" s="90">
        <f t="shared" si="1"/>
        <v>0</v>
      </c>
      <c r="F30" s="91">
        <f>'2017 Assembly'!O30</f>
        <v>27.47</v>
      </c>
      <c r="G30" s="91">
        <f>'2022 Assembly'!O30</f>
        <v>7.16</v>
      </c>
      <c r="H30" s="91">
        <f t="shared" si="2"/>
        <v>81.24</v>
      </c>
      <c r="I30" s="91">
        <f>IF(ISBLANK('Assembly Competitiveness'!J30),0,IF(ISNUMBER(SEARCH("retained",'Assembly Competitiveness'!J30)),30,100))</f>
        <v>0</v>
      </c>
      <c r="J30" s="91">
        <f>MIN(100,ABS('Assembly Trajectories'!M30)*10)</f>
        <v>58.2</v>
      </c>
      <c r="K30" s="91">
        <f>'Assembly Competitiveness'!N30</f>
        <v>0</v>
      </c>
      <c r="L30" s="89">
        <f t="shared" si="3"/>
        <v>26.13</v>
      </c>
      <c r="M30" s="90" t="str">
        <f t="shared" si="4"/>
        <v>Low</v>
      </c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</row>
    <row r="31">
      <c r="A31" s="89">
        <v>28.0</v>
      </c>
      <c r="B31" s="90" t="s">
        <v>426</v>
      </c>
      <c r="C31" s="90" t="s">
        <v>127</v>
      </c>
      <c r="D31" s="90" t="str">
        <f>IF('2017 Assembly'!G31='2022 Assembly'!G31, "NO", "YES")</f>
        <v>YES</v>
      </c>
      <c r="E31" s="90">
        <f t="shared" si="1"/>
        <v>100</v>
      </c>
      <c r="F31" s="91">
        <f>'2017 Assembly'!O31</f>
        <v>7.57</v>
      </c>
      <c r="G31" s="91">
        <f>'2022 Assembly'!O31</f>
        <v>10.65</v>
      </c>
      <c r="H31" s="91">
        <f t="shared" si="2"/>
        <v>12.32</v>
      </c>
      <c r="I31" s="91">
        <f>IF(ISBLANK('Assembly Competitiveness'!J31),0,IF(ISNUMBER(SEARCH("retained",'Assembly Competitiveness'!J31)),30,100))</f>
        <v>0</v>
      </c>
      <c r="J31" s="91">
        <f>MIN(100,ABS('Assembly Trajectories'!M31)*10)</f>
        <v>37</v>
      </c>
      <c r="K31" s="91">
        <f>'Assembly Competitiveness'!N31</f>
        <v>0</v>
      </c>
      <c r="L31" s="89">
        <f t="shared" si="3"/>
        <v>36.78</v>
      </c>
      <c r="M31" s="90" t="str">
        <f t="shared" si="4"/>
        <v>Low</v>
      </c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</row>
    <row r="32">
      <c r="A32" s="89">
        <v>29.0</v>
      </c>
      <c r="B32" s="90" t="s">
        <v>248</v>
      </c>
      <c r="C32" s="90" t="s">
        <v>127</v>
      </c>
      <c r="D32" s="90" t="str">
        <f>IF('2017 Assembly'!G32='2022 Assembly'!G32, "NO", "YES")</f>
        <v>YES</v>
      </c>
      <c r="E32" s="90">
        <f t="shared" si="1"/>
        <v>100</v>
      </c>
      <c r="F32" s="91">
        <f>'2017 Assembly'!O32</f>
        <v>1.56</v>
      </c>
      <c r="G32" s="91">
        <f>'2022 Assembly'!O32</f>
        <v>2.14</v>
      </c>
      <c r="H32" s="91">
        <f t="shared" si="2"/>
        <v>2.32</v>
      </c>
      <c r="I32" s="91">
        <f>IF(ISBLANK('Assembly Competitiveness'!J32),0,IF(ISNUMBER(SEARCH("retained",'Assembly Competitiveness'!J32)),30,100))</f>
        <v>0</v>
      </c>
      <c r="J32" s="91">
        <f>MIN(100,ABS('Assembly Trajectories'!M32)*10)</f>
        <v>59.1</v>
      </c>
      <c r="K32" s="91">
        <f>'Assembly Competitiveness'!N32</f>
        <v>100</v>
      </c>
      <c r="L32" s="89">
        <f t="shared" si="3"/>
        <v>46.49</v>
      </c>
      <c r="M32" s="90" t="str">
        <f t="shared" si="4"/>
        <v>Medium</v>
      </c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</row>
    <row r="33">
      <c r="A33" s="89">
        <v>30.0</v>
      </c>
      <c r="B33" s="90" t="s">
        <v>433</v>
      </c>
      <c r="C33" s="90" t="s">
        <v>127</v>
      </c>
      <c r="D33" s="90" t="str">
        <f>IF('2017 Assembly'!G33='2022 Assembly'!G33, "NO", "YES")</f>
        <v>YES</v>
      </c>
      <c r="E33" s="90">
        <f t="shared" si="1"/>
        <v>100</v>
      </c>
      <c r="F33" s="91">
        <f>'2017 Assembly'!O33</f>
        <v>2.38</v>
      </c>
      <c r="G33" s="91">
        <f>'2022 Assembly'!O33</f>
        <v>8.85</v>
      </c>
      <c r="H33" s="91">
        <f t="shared" si="2"/>
        <v>25.88</v>
      </c>
      <c r="I33" s="91">
        <f>IF(ISBLANK('Assembly Competitiveness'!J33),0,IF(ISNUMBER(SEARCH("retained",'Assembly Competitiveness'!J33)),30,100))</f>
        <v>0</v>
      </c>
      <c r="J33" s="91">
        <f>MIN(100,ABS('Assembly Trajectories'!M33)*10)</f>
        <v>77.8</v>
      </c>
      <c r="K33" s="91">
        <f>'Assembly Competitiveness'!N33</f>
        <v>0</v>
      </c>
      <c r="L33" s="89">
        <f t="shared" si="3"/>
        <v>44.25</v>
      </c>
      <c r="M33" s="90" t="str">
        <f t="shared" si="4"/>
        <v>Medium</v>
      </c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</row>
    <row r="34">
      <c r="A34" s="89">
        <v>31.0</v>
      </c>
      <c r="B34" s="90" t="s">
        <v>235</v>
      </c>
      <c r="C34" s="90" t="s">
        <v>127</v>
      </c>
      <c r="D34" s="90" t="str">
        <f>IF('2017 Assembly'!G34='2022 Assembly'!G34, "NO", "YES")</f>
        <v>YES</v>
      </c>
      <c r="E34" s="90">
        <f t="shared" si="1"/>
        <v>100</v>
      </c>
      <c r="F34" s="91">
        <f>'2017 Assembly'!O34</f>
        <v>12.94</v>
      </c>
      <c r="G34" s="91">
        <f>'2022 Assembly'!O34</f>
        <v>2.16</v>
      </c>
      <c r="H34" s="91">
        <f t="shared" si="2"/>
        <v>43.12</v>
      </c>
      <c r="I34" s="91">
        <f>IF(ISBLANK('Assembly Competitiveness'!J34),0,IF(ISNUMBER(SEARCH("retained",'Assembly Competitiveness'!J34)),30,100))</f>
        <v>0</v>
      </c>
      <c r="J34" s="91">
        <f>MIN(100,ABS('Assembly Trajectories'!M34)*10)</f>
        <v>80.5</v>
      </c>
      <c r="K34" s="91">
        <f>'Assembly Competitiveness'!N34</f>
        <v>100</v>
      </c>
      <c r="L34" s="89">
        <f t="shared" si="3"/>
        <v>58.83</v>
      </c>
      <c r="M34" s="90" t="str">
        <f t="shared" si="4"/>
        <v>High</v>
      </c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</row>
    <row r="35">
      <c r="A35" s="89">
        <v>32.0</v>
      </c>
      <c r="B35" s="90" t="s">
        <v>444</v>
      </c>
      <c r="C35" s="90" t="s">
        <v>127</v>
      </c>
      <c r="D35" s="90" t="str">
        <f>IF('2017 Assembly'!G35='2022 Assembly'!G35, "NO", "YES")</f>
        <v>YES</v>
      </c>
      <c r="E35" s="90">
        <f t="shared" si="1"/>
        <v>100</v>
      </c>
      <c r="F35" s="91">
        <f>'2017 Assembly'!O35</f>
        <v>3.65</v>
      </c>
      <c r="G35" s="91">
        <f>'2022 Assembly'!O35</f>
        <v>9.18</v>
      </c>
      <c r="H35" s="91">
        <f t="shared" si="2"/>
        <v>22.12</v>
      </c>
      <c r="I35" s="91">
        <f>IF(ISBLANK('Assembly Competitiveness'!J35),0,IF(ISNUMBER(SEARCH("retained",'Assembly Competitiveness'!J35)),30,100))</f>
        <v>0</v>
      </c>
      <c r="J35" s="91">
        <f>MIN(100,ABS('Assembly Trajectories'!M35)*10)</f>
        <v>53.2</v>
      </c>
      <c r="K35" s="91">
        <f>'Assembly Competitiveness'!N35</f>
        <v>0</v>
      </c>
      <c r="L35" s="89">
        <f t="shared" si="3"/>
        <v>40.85</v>
      </c>
      <c r="M35" s="90" t="str">
        <f t="shared" si="4"/>
        <v>Medium</v>
      </c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</row>
    <row r="36">
      <c r="A36" s="89">
        <v>33.0</v>
      </c>
      <c r="B36" s="90" t="s">
        <v>267</v>
      </c>
      <c r="C36" s="90" t="s">
        <v>127</v>
      </c>
      <c r="D36" s="90" t="str">
        <f>IF('2017 Assembly'!G36='2022 Assembly'!G36, "NO", "YES")</f>
        <v>YES</v>
      </c>
      <c r="E36" s="90">
        <f t="shared" si="1"/>
        <v>100</v>
      </c>
      <c r="F36" s="91">
        <f>'2017 Assembly'!O36</f>
        <v>4.81</v>
      </c>
      <c r="G36" s="91">
        <f>'2022 Assembly'!O36</f>
        <v>3.69</v>
      </c>
      <c r="H36" s="91">
        <f t="shared" si="2"/>
        <v>4.48</v>
      </c>
      <c r="I36" s="91">
        <f>IF(ISBLANK('Assembly Competitiveness'!J36),0,IF(ISNUMBER(SEARCH("retained",'Assembly Competitiveness'!J36)),30,100))</f>
        <v>0</v>
      </c>
      <c r="J36" s="91">
        <f>MIN(100,ABS('Assembly Trajectories'!M36)*10)</f>
        <v>56.7</v>
      </c>
      <c r="K36" s="91">
        <f>'Assembly Competitiveness'!N36</f>
        <v>100</v>
      </c>
      <c r="L36" s="89">
        <f t="shared" si="3"/>
        <v>46.79</v>
      </c>
      <c r="M36" s="90" t="str">
        <f t="shared" si="4"/>
        <v>Medium</v>
      </c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</row>
    <row r="37">
      <c r="A37" s="89">
        <v>34.0</v>
      </c>
      <c r="B37" s="90" t="s">
        <v>274</v>
      </c>
      <c r="C37" s="90" t="s">
        <v>127</v>
      </c>
      <c r="D37" s="90" t="str">
        <f>IF('2017 Assembly'!G37='2022 Assembly'!G37, "NO", "YES")</f>
        <v>YES</v>
      </c>
      <c r="E37" s="90">
        <f t="shared" si="1"/>
        <v>100</v>
      </c>
      <c r="F37" s="91">
        <f>'2017 Assembly'!O37</f>
        <v>15.84</v>
      </c>
      <c r="G37" s="91">
        <f>'2022 Assembly'!O37</f>
        <v>3.69</v>
      </c>
      <c r="H37" s="91">
        <f t="shared" si="2"/>
        <v>48.6</v>
      </c>
      <c r="I37" s="91">
        <f>IF(ISBLANK('Assembly Competitiveness'!J37),0,IF(ISNUMBER(SEARCH("retained",'Assembly Competitiveness'!J37)),30,100))</f>
        <v>0</v>
      </c>
      <c r="J37" s="91">
        <f>MIN(100,ABS('Assembly Trajectories'!M37)*10)</f>
        <v>43.4</v>
      </c>
      <c r="K37" s="91">
        <f>'Assembly Competitiveness'!N37</f>
        <v>100</v>
      </c>
      <c r="L37" s="89">
        <f t="shared" si="3"/>
        <v>56.49</v>
      </c>
      <c r="M37" s="90" t="str">
        <f t="shared" si="4"/>
        <v>High</v>
      </c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</row>
    <row r="38">
      <c r="A38" s="89">
        <v>35.0</v>
      </c>
      <c r="B38" s="90" t="s">
        <v>215</v>
      </c>
      <c r="C38" s="90" t="s">
        <v>127</v>
      </c>
      <c r="D38" s="90" t="str">
        <f>IF('2017 Assembly'!G38='2022 Assembly'!G38, "NO", "YES")</f>
        <v>YES</v>
      </c>
      <c r="E38" s="90">
        <f t="shared" si="1"/>
        <v>100</v>
      </c>
      <c r="F38" s="91">
        <f>'2017 Assembly'!O38</f>
        <v>22.87</v>
      </c>
      <c r="G38" s="91">
        <f>'2022 Assembly'!O38</f>
        <v>0.23</v>
      </c>
      <c r="H38" s="91">
        <f t="shared" si="2"/>
        <v>90.56</v>
      </c>
      <c r="I38" s="91">
        <f>IF(ISBLANK('Assembly Competitiveness'!J38),0,IF(ISNUMBER(SEARCH("retained",'Assembly Competitiveness'!J38)),30,100))</f>
        <v>0</v>
      </c>
      <c r="J38" s="91">
        <f>MIN(100,ABS('Assembly Trajectories'!M38)*10)</f>
        <v>64</v>
      </c>
      <c r="K38" s="91">
        <f>'Assembly Competitiveness'!N38</f>
        <v>100</v>
      </c>
      <c r="L38" s="89">
        <f t="shared" si="3"/>
        <v>69.04</v>
      </c>
      <c r="M38" s="90" t="str">
        <f t="shared" si="4"/>
        <v>High</v>
      </c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</row>
    <row r="39">
      <c r="A39" s="89">
        <v>36.0</v>
      </c>
      <c r="B39" s="90" t="s">
        <v>451</v>
      </c>
      <c r="C39" s="90" t="s">
        <v>127</v>
      </c>
      <c r="D39" s="90" t="str">
        <f>IF('2017 Assembly'!G39='2022 Assembly'!G39, "NO", "YES")</f>
        <v>NO</v>
      </c>
      <c r="E39" s="90">
        <f t="shared" si="1"/>
        <v>0</v>
      </c>
      <c r="F39" s="91">
        <f>'2017 Assembly'!O39</f>
        <v>26.19</v>
      </c>
      <c r="G39" s="91">
        <f>'2022 Assembly'!O39</f>
        <v>7.46</v>
      </c>
      <c r="H39" s="91">
        <f t="shared" si="2"/>
        <v>74.92</v>
      </c>
      <c r="I39" s="91">
        <f>IF(ISBLANK('Assembly Competitiveness'!J39),0,IF(ISNUMBER(SEARCH("retained",'Assembly Competitiveness'!J39)),30,100))</f>
        <v>0</v>
      </c>
      <c r="J39" s="91">
        <f>MIN(100,ABS('Assembly Trajectories'!M39)*10)</f>
        <v>48.2</v>
      </c>
      <c r="K39" s="91">
        <f>'Assembly Competitiveness'!N39</f>
        <v>100</v>
      </c>
      <c r="L39" s="89">
        <f t="shared" si="3"/>
        <v>33.55</v>
      </c>
      <c r="M39" s="90" t="str">
        <f t="shared" si="4"/>
        <v>Low</v>
      </c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</row>
    <row r="40">
      <c r="A40" s="89">
        <v>37.0</v>
      </c>
      <c r="B40" s="90" t="s">
        <v>453</v>
      </c>
      <c r="C40" s="90" t="s">
        <v>127</v>
      </c>
      <c r="D40" s="90" t="str">
        <f>IF('2017 Assembly'!G40='2022 Assembly'!G40, "NO", "YES")</f>
        <v>NO</v>
      </c>
      <c r="E40" s="90">
        <f t="shared" si="1"/>
        <v>0</v>
      </c>
      <c r="F40" s="91">
        <f>'2017 Assembly'!O40</f>
        <v>23.23</v>
      </c>
      <c r="G40" s="91">
        <f>'2022 Assembly'!O40</f>
        <v>4.68</v>
      </c>
      <c r="H40" s="91">
        <f t="shared" si="2"/>
        <v>74.2</v>
      </c>
      <c r="I40" s="91">
        <f>IF(ISBLANK('Assembly Competitiveness'!J40),0,IF(ISNUMBER(SEARCH("retained",'Assembly Competitiveness'!J40)),30,100))</f>
        <v>0</v>
      </c>
      <c r="J40" s="91">
        <f>MIN(100,ABS('Assembly Trajectories'!M40)*10)</f>
        <v>34.8</v>
      </c>
      <c r="K40" s="91">
        <f>'Assembly Competitiveness'!N40</f>
        <v>0</v>
      </c>
      <c r="L40" s="89">
        <f t="shared" si="3"/>
        <v>22.03</v>
      </c>
      <c r="M40" s="90" t="str">
        <f t="shared" si="4"/>
        <v>Low</v>
      </c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</row>
    <row r="41">
      <c r="A41" s="89">
        <v>38.0</v>
      </c>
      <c r="B41" s="90" t="s">
        <v>456</v>
      </c>
      <c r="C41" s="90" t="s">
        <v>127</v>
      </c>
      <c r="D41" s="90" t="str">
        <f>IF('2017 Assembly'!G41='2022 Assembly'!G41, "NO", "YES")</f>
        <v>YES</v>
      </c>
      <c r="E41" s="90">
        <f t="shared" si="1"/>
        <v>100</v>
      </c>
      <c r="F41" s="91">
        <f>'2017 Assembly'!O41</f>
        <v>6.66</v>
      </c>
      <c r="G41" s="91">
        <f>'2022 Assembly'!O41</f>
        <v>4.06</v>
      </c>
      <c r="H41" s="91">
        <f t="shared" si="2"/>
        <v>10.4</v>
      </c>
      <c r="I41" s="91">
        <f>IF(ISBLANK('Assembly Competitiveness'!J41),0,IF(ISNUMBER(SEARCH("retained",'Assembly Competitiveness'!J41)),30,100))</f>
        <v>0</v>
      </c>
      <c r="J41" s="91">
        <f>MIN(100,ABS('Assembly Trajectories'!M41)*10)</f>
        <v>52.6</v>
      </c>
      <c r="K41" s="91">
        <f>'Assembly Competitiveness'!N41</f>
        <v>0</v>
      </c>
      <c r="L41" s="89">
        <f t="shared" si="3"/>
        <v>37.86</v>
      </c>
      <c r="M41" s="90" t="str">
        <f t="shared" si="4"/>
        <v>Low</v>
      </c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</row>
    <row r="42">
      <c r="A42" s="89">
        <v>39.0</v>
      </c>
      <c r="B42" s="90" t="s">
        <v>458</v>
      </c>
      <c r="C42" s="90" t="s">
        <v>127</v>
      </c>
      <c r="D42" s="90" t="str">
        <f>IF('2017 Assembly'!G42='2022 Assembly'!G42, "NO", "YES")</f>
        <v>YES</v>
      </c>
      <c r="E42" s="90">
        <f t="shared" si="1"/>
        <v>100</v>
      </c>
      <c r="F42" s="91">
        <f>'2017 Assembly'!O42</f>
        <v>17.15</v>
      </c>
      <c r="G42" s="91">
        <f>'2022 Assembly'!O42</f>
        <v>1.89</v>
      </c>
      <c r="H42" s="91">
        <f t="shared" si="2"/>
        <v>61.04</v>
      </c>
      <c r="I42" s="91">
        <f>IF(ISBLANK('Assembly Competitiveness'!J42),0,IF(ISNUMBER(SEARCH("retained",'Assembly Competitiveness'!J42)),30,100))</f>
        <v>0</v>
      </c>
      <c r="J42" s="91">
        <f>MIN(100,ABS('Assembly Trajectories'!M42)*10)</f>
        <v>13</v>
      </c>
      <c r="K42" s="91">
        <f>'Assembly Competitiveness'!N42</f>
        <v>0</v>
      </c>
      <c r="L42" s="89">
        <f t="shared" si="3"/>
        <v>46.56</v>
      </c>
      <c r="M42" s="90" t="str">
        <f t="shared" si="4"/>
        <v>Medium</v>
      </c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</row>
    <row r="43">
      <c r="A43" s="89">
        <v>40.0</v>
      </c>
      <c r="B43" s="90" t="s">
        <v>461</v>
      </c>
      <c r="C43" s="90" t="s">
        <v>127</v>
      </c>
      <c r="D43" s="90" t="str">
        <f>IF('2017 Assembly'!G43='2022 Assembly'!G43, "NO", "YES")</f>
        <v>YES</v>
      </c>
      <c r="E43" s="90">
        <f t="shared" si="1"/>
        <v>100</v>
      </c>
      <c r="F43" s="91">
        <f>'2017 Assembly'!O43</f>
        <v>13.61</v>
      </c>
      <c r="G43" s="91">
        <f>'2022 Assembly'!O43</f>
        <v>6.47</v>
      </c>
      <c r="H43" s="91">
        <f t="shared" si="2"/>
        <v>28.56</v>
      </c>
      <c r="I43" s="91">
        <f>IF(ISBLANK('Assembly Competitiveness'!J43),0,IF(ISNUMBER(SEARCH("retained",'Assembly Competitiveness'!J43)),30,100))</f>
        <v>0</v>
      </c>
      <c r="J43" s="91">
        <f>MIN(100,ABS('Assembly Trajectories'!M43)*10)</f>
        <v>21.4</v>
      </c>
      <c r="K43" s="91">
        <f>'Assembly Competitiveness'!N43</f>
        <v>100</v>
      </c>
      <c r="L43" s="89">
        <f t="shared" si="3"/>
        <v>49.28</v>
      </c>
      <c r="M43" s="90" t="str">
        <f t="shared" si="4"/>
        <v>Medium</v>
      </c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</row>
    <row r="44">
      <c r="A44" s="89">
        <v>41.0</v>
      </c>
      <c r="B44" s="90" t="s">
        <v>275</v>
      </c>
      <c r="C44" s="90" t="s">
        <v>127</v>
      </c>
      <c r="D44" s="90" t="str">
        <f>IF('2017 Assembly'!G44='2022 Assembly'!G44, "NO", "YES")</f>
        <v>YES</v>
      </c>
      <c r="E44" s="90">
        <f t="shared" si="1"/>
        <v>100</v>
      </c>
      <c r="F44" s="91">
        <f>'2017 Assembly'!O44</f>
        <v>11.94</v>
      </c>
      <c r="G44" s="91">
        <f>'2022 Assembly'!O44</f>
        <v>3.37</v>
      </c>
      <c r="H44" s="91">
        <f t="shared" si="2"/>
        <v>34.28</v>
      </c>
      <c r="I44" s="91">
        <f>IF(ISBLANK('Assembly Competitiveness'!J44),0,IF(ISNUMBER(SEARCH("retained",'Assembly Competitiveness'!J44)),30,100))</f>
        <v>0</v>
      </c>
      <c r="J44" s="91">
        <f>MIN(100,ABS('Assembly Trajectories'!M44)*10)</f>
        <v>26.5</v>
      </c>
      <c r="K44" s="91">
        <f>'Assembly Competitiveness'!N44</f>
        <v>100</v>
      </c>
      <c r="L44" s="89">
        <f t="shared" si="3"/>
        <v>51.22</v>
      </c>
      <c r="M44" s="90" t="str">
        <f t="shared" si="4"/>
        <v>Medium</v>
      </c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>
      <c r="A45" s="89">
        <v>42.0</v>
      </c>
      <c r="B45" s="90" t="s">
        <v>462</v>
      </c>
      <c r="C45" s="90" t="s">
        <v>127</v>
      </c>
      <c r="D45" s="90" t="str">
        <f>IF('2017 Assembly'!G45='2022 Assembly'!G45, "NO", "YES")</f>
        <v>YES</v>
      </c>
      <c r="E45" s="90">
        <f t="shared" si="1"/>
        <v>100</v>
      </c>
      <c r="F45" s="91">
        <f>'2017 Assembly'!O45</f>
        <v>3.1</v>
      </c>
      <c r="G45" s="91">
        <f>'2022 Assembly'!O45</f>
        <v>17.37</v>
      </c>
      <c r="H45" s="91">
        <f t="shared" si="2"/>
        <v>57.08</v>
      </c>
      <c r="I45" s="91">
        <f>IF(ISBLANK('Assembly Competitiveness'!J45),0,IF(ISNUMBER(SEARCH("retained",'Assembly Competitiveness'!J45)),30,100))</f>
        <v>0</v>
      </c>
      <c r="J45" s="91">
        <f>MIN(100,ABS('Assembly Trajectories'!M45)*10)</f>
        <v>44.4</v>
      </c>
      <c r="K45" s="91">
        <f>'Assembly Competitiveness'!N45</f>
        <v>0</v>
      </c>
      <c r="L45" s="89">
        <f t="shared" si="3"/>
        <v>48.71</v>
      </c>
      <c r="M45" s="90" t="str">
        <f t="shared" si="4"/>
        <v>Medium</v>
      </c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</row>
    <row r="46">
      <c r="A46" s="89">
        <v>43.0</v>
      </c>
      <c r="B46" s="90" t="s">
        <v>459</v>
      </c>
      <c r="C46" s="90" t="s">
        <v>127</v>
      </c>
      <c r="D46" s="90" t="str">
        <f>IF('2017 Assembly'!G46='2022 Assembly'!G46, "NO", "YES")</f>
        <v>YES</v>
      </c>
      <c r="E46" s="90">
        <f t="shared" si="1"/>
        <v>100</v>
      </c>
      <c r="F46" s="91">
        <f>'2017 Assembly'!O46</f>
        <v>9.19</v>
      </c>
      <c r="G46" s="91">
        <f>'2022 Assembly'!O46</f>
        <v>10.93</v>
      </c>
      <c r="H46" s="91">
        <f t="shared" si="2"/>
        <v>6.96</v>
      </c>
      <c r="I46" s="91">
        <f>IF(ISBLANK('Assembly Competitiveness'!J46),0,IF(ISNUMBER(SEARCH("retained",'Assembly Competitiveness'!J46)),30,100))</f>
        <v>0</v>
      </c>
      <c r="J46" s="91">
        <f>MIN(100,ABS('Assembly Trajectories'!M46)*10)</f>
        <v>31.7</v>
      </c>
      <c r="K46" s="91">
        <f>'Assembly Competitiveness'!N46</f>
        <v>100</v>
      </c>
      <c r="L46" s="89">
        <f t="shared" si="3"/>
        <v>44.91</v>
      </c>
      <c r="M46" s="90" t="str">
        <f t="shared" si="4"/>
        <v>Medium</v>
      </c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>
      <c r="A47" s="89">
        <v>44.0</v>
      </c>
      <c r="B47" s="90" t="s">
        <v>247</v>
      </c>
      <c r="C47" s="90" t="s">
        <v>127</v>
      </c>
      <c r="D47" s="90" t="str">
        <f>IF('2017 Assembly'!G47='2022 Assembly'!G47, "NO", "YES")</f>
        <v>NO</v>
      </c>
      <c r="E47" s="90">
        <f t="shared" si="1"/>
        <v>0</v>
      </c>
      <c r="F47" s="91">
        <f>'2017 Assembly'!O47</f>
        <v>25.45</v>
      </c>
      <c r="G47" s="91">
        <f>'2022 Assembly'!O47</f>
        <v>6.68</v>
      </c>
      <c r="H47" s="91">
        <f t="shared" si="2"/>
        <v>75.08</v>
      </c>
      <c r="I47" s="91">
        <f>IF(ISBLANK('Assembly Competitiveness'!J47),0,IF(ISNUMBER(SEARCH("retained",'Assembly Competitiveness'!J47)),30,100))</f>
        <v>100</v>
      </c>
      <c r="J47" s="91">
        <f>MIN(100,ABS('Assembly Trajectories'!M47)*10)</f>
        <v>24.2</v>
      </c>
      <c r="K47" s="91">
        <f>'Assembly Competitiveness'!N47</f>
        <v>100</v>
      </c>
      <c r="L47" s="89">
        <f t="shared" si="3"/>
        <v>56.19</v>
      </c>
      <c r="M47" s="90" t="str">
        <f t="shared" si="4"/>
        <v>High</v>
      </c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>
      <c r="A48" s="89">
        <v>45.0</v>
      </c>
      <c r="B48" s="90" t="s">
        <v>465</v>
      </c>
      <c r="C48" s="90" t="s">
        <v>127</v>
      </c>
      <c r="D48" s="90" t="str">
        <f>IF('2017 Assembly'!G48='2022 Assembly'!G48, "NO", "YES")</f>
        <v>NO</v>
      </c>
      <c r="E48" s="90">
        <f t="shared" si="1"/>
        <v>0</v>
      </c>
      <c r="F48" s="91">
        <f>'2017 Assembly'!O48</f>
        <v>1.32</v>
      </c>
      <c r="G48" s="91">
        <f>'2022 Assembly'!O48</f>
        <v>3.44</v>
      </c>
      <c r="H48" s="91">
        <f t="shared" si="2"/>
        <v>8.48</v>
      </c>
      <c r="I48" s="91">
        <f>IF(ISBLANK('Assembly Competitiveness'!J48),0,IF(ISNUMBER(SEARCH("retained",'Assembly Competitiveness'!J48)),30,100))</f>
        <v>0</v>
      </c>
      <c r="J48" s="91">
        <f>MIN(100,ABS('Assembly Trajectories'!M48)*10)</f>
        <v>39.6</v>
      </c>
      <c r="K48" s="91">
        <f>'Assembly Competitiveness'!N48</f>
        <v>0</v>
      </c>
      <c r="L48" s="89">
        <f t="shared" si="3"/>
        <v>6.08</v>
      </c>
      <c r="M48" s="90" t="str">
        <f t="shared" si="4"/>
        <v>Low</v>
      </c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</row>
    <row r="49">
      <c r="A49" s="89">
        <v>46.0</v>
      </c>
      <c r="B49" s="90" t="s">
        <v>211</v>
      </c>
      <c r="C49" s="90" t="s">
        <v>127</v>
      </c>
      <c r="D49" s="90" t="str">
        <f>IF('2017 Assembly'!G49='2022 Assembly'!G49, "NO", "YES")</f>
        <v>NO</v>
      </c>
      <c r="E49" s="90">
        <f t="shared" si="1"/>
        <v>0</v>
      </c>
      <c r="F49" s="91">
        <f>'2017 Assembly'!O49</f>
        <v>1.55</v>
      </c>
      <c r="G49" s="91">
        <f>'2022 Assembly'!O49</f>
        <v>4.43</v>
      </c>
      <c r="H49" s="91">
        <f t="shared" si="2"/>
        <v>11.52</v>
      </c>
      <c r="I49" s="91">
        <f>IF(ISBLANK('Assembly Competitiveness'!J49),0,IF(ISNUMBER(SEARCH("retained",'Assembly Competitiveness'!J49)),30,100))</f>
        <v>100</v>
      </c>
      <c r="J49" s="91">
        <f>MIN(100,ABS('Assembly Trajectories'!M49)*10)</f>
        <v>68.8</v>
      </c>
      <c r="K49" s="91">
        <f>'Assembly Competitiveness'!N49</f>
        <v>100</v>
      </c>
      <c r="L49" s="89">
        <f t="shared" si="3"/>
        <v>44.76</v>
      </c>
      <c r="M49" s="90" t="str">
        <f t="shared" si="4"/>
        <v>Medium</v>
      </c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</row>
    <row r="50">
      <c r="A50" s="89">
        <v>47.0</v>
      </c>
      <c r="B50" s="90" t="s">
        <v>259</v>
      </c>
      <c r="C50" s="90" t="s">
        <v>127</v>
      </c>
      <c r="D50" s="90" t="str">
        <f>IF('2017 Assembly'!G50='2022 Assembly'!G50, "NO", "YES")</f>
        <v>YES</v>
      </c>
      <c r="E50" s="90">
        <f t="shared" si="1"/>
        <v>100</v>
      </c>
      <c r="F50" s="91">
        <f>'2017 Assembly'!O50</f>
        <v>2.6</v>
      </c>
      <c r="G50" s="91">
        <f>'2022 Assembly'!O50</f>
        <v>4.36</v>
      </c>
      <c r="H50" s="91">
        <f t="shared" si="2"/>
        <v>7.04</v>
      </c>
      <c r="I50" s="91">
        <f>IF(ISBLANK('Assembly Competitiveness'!J50),0,IF(ISNUMBER(SEARCH("retained",'Assembly Competitiveness'!J50)),30,100))</f>
        <v>0</v>
      </c>
      <c r="J50" s="91">
        <f>MIN(100,ABS('Assembly Trajectories'!M50)*10)</f>
        <v>61.6</v>
      </c>
      <c r="K50" s="91">
        <f>'Assembly Competitiveness'!N50</f>
        <v>100</v>
      </c>
      <c r="L50" s="89">
        <f t="shared" si="3"/>
        <v>47.92</v>
      </c>
      <c r="M50" s="90" t="str">
        <f t="shared" si="4"/>
        <v>Medium</v>
      </c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</row>
    <row r="51">
      <c r="A51" s="89">
        <v>48.0</v>
      </c>
      <c r="B51" s="90" t="s">
        <v>278</v>
      </c>
      <c r="C51" s="90" t="s">
        <v>127</v>
      </c>
      <c r="D51" s="90" t="str">
        <f>IF('2017 Assembly'!G51='2022 Assembly'!G51, "NO", "YES")</f>
        <v>YES</v>
      </c>
      <c r="E51" s="90">
        <f t="shared" si="1"/>
        <v>100</v>
      </c>
      <c r="F51" s="91">
        <f>'2017 Assembly'!O51</f>
        <v>16.85</v>
      </c>
      <c r="G51" s="91">
        <f>'2022 Assembly'!O51</f>
        <v>3.97</v>
      </c>
      <c r="H51" s="91">
        <f t="shared" si="2"/>
        <v>51.52</v>
      </c>
      <c r="I51" s="91">
        <f>IF(ISBLANK('Assembly Competitiveness'!J51),0,IF(ISNUMBER(SEARCH("retained",'Assembly Competitiveness'!J51)),30,100))</f>
        <v>0</v>
      </c>
      <c r="J51" s="91">
        <f>MIN(100,ABS('Assembly Trajectories'!M51)*10)</f>
        <v>49.9</v>
      </c>
      <c r="K51" s="91">
        <f>'Assembly Competitiveness'!N51</f>
        <v>100</v>
      </c>
      <c r="L51" s="89">
        <f t="shared" si="3"/>
        <v>57.87</v>
      </c>
      <c r="M51" s="90" t="str">
        <f t="shared" si="4"/>
        <v>High</v>
      </c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>
      <c r="A52" s="89">
        <v>49.0</v>
      </c>
      <c r="B52" s="90" t="s">
        <v>467</v>
      </c>
      <c r="C52" s="90" t="s">
        <v>35</v>
      </c>
      <c r="D52" s="90" t="str">
        <f>IF('2017 Assembly'!G52='2022 Assembly'!G52, "NO", "YES")</f>
        <v>YES</v>
      </c>
      <c r="E52" s="90">
        <f t="shared" si="1"/>
        <v>100</v>
      </c>
      <c r="F52" s="91">
        <f>'2017 Assembly'!O52</f>
        <v>17.79</v>
      </c>
      <c r="G52" s="91">
        <f>'2022 Assembly'!O52</f>
        <v>32.58</v>
      </c>
      <c r="H52" s="91">
        <f t="shared" si="2"/>
        <v>59.16</v>
      </c>
      <c r="I52" s="91">
        <f>IF(ISBLANK('Assembly Competitiveness'!J52),0,IF(ISNUMBER(SEARCH("retained",'Assembly Competitiveness'!J52)),30,100))</f>
        <v>0</v>
      </c>
      <c r="J52" s="91">
        <f>MIN(100,ABS('Assembly Trajectories'!M52)*10)</f>
        <v>12.8</v>
      </c>
      <c r="K52" s="91">
        <f>'Assembly Competitiveness'!N52</f>
        <v>0</v>
      </c>
      <c r="L52" s="89">
        <f t="shared" si="3"/>
        <v>46.07</v>
      </c>
      <c r="M52" s="90" t="str">
        <f t="shared" si="4"/>
        <v>Medium</v>
      </c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>
      <c r="A53" s="89">
        <v>50.0</v>
      </c>
      <c r="B53" s="90" t="s">
        <v>469</v>
      </c>
      <c r="C53" s="90" t="s">
        <v>35</v>
      </c>
      <c r="D53" s="90" t="str">
        <f>IF('2017 Assembly'!G53='2022 Assembly'!G53, "NO", "YES")</f>
        <v>NO</v>
      </c>
      <c r="E53" s="90">
        <f t="shared" si="1"/>
        <v>0</v>
      </c>
      <c r="F53" s="91">
        <f>'2017 Assembly'!O53</f>
        <v>18.35</v>
      </c>
      <c r="G53" s="91">
        <f>'2022 Assembly'!O53</f>
        <v>17.49</v>
      </c>
      <c r="H53" s="91">
        <f t="shared" si="2"/>
        <v>3.44</v>
      </c>
      <c r="I53" s="91">
        <f>IF(ISBLANK('Assembly Competitiveness'!J53),0,IF(ISNUMBER(SEARCH("retained",'Assembly Competitiveness'!J53)),30,100))</f>
        <v>0</v>
      </c>
      <c r="J53" s="91">
        <f>MIN(100,ABS('Assembly Trajectories'!M53)*10)</f>
        <v>29.6</v>
      </c>
      <c r="K53" s="91">
        <f>'Assembly Competitiveness'!N53</f>
        <v>0</v>
      </c>
      <c r="L53" s="89">
        <f t="shared" si="3"/>
        <v>3.82</v>
      </c>
      <c r="M53" s="90" t="str">
        <f t="shared" si="4"/>
        <v>Low</v>
      </c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>
      <c r="A54" s="89">
        <v>51.0</v>
      </c>
      <c r="B54" s="90" t="s">
        <v>470</v>
      </c>
      <c r="C54" s="90" t="s">
        <v>35</v>
      </c>
      <c r="D54" s="90" t="str">
        <f>IF('2017 Assembly'!G54='2022 Assembly'!G54, "NO", "YES")</f>
        <v>YES</v>
      </c>
      <c r="E54" s="90">
        <f t="shared" si="1"/>
        <v>100</v>
      </c>
      <c r="F54" s="91">
        <f>'2017 Assembly'!O54</f>
        <v>8.52</v>
      </c>
      <c r="G54" s="91">
        <f>'2022 Assembly'!O54</f>
        <v>5.41</v>
      </c>
      <c r="H54" s="91">
        <f t="shared" si="2"/>
        <v>12.44</v>
      </c>
      <c r="I54" s="91">
        <f>IF(ISBLANK('Assembly Competitiveness'!J54),0,IF(ISNUMBER(SEARCH("retained",'Assembly Competitiveness'!J54)),30,100))</f>
        <v>0</v>
      </c>
      <c r="J54" s="91">
        <f>MIN(100,ABS('Assembly Trajectories'!M54)*10)</f>
        <v>28.6</v>
      </c>
      <c r="K54" s="91">
        <f>'Assembly Competitiveness'!N54</f>
        <v>100</v>
      </c>
      <c r="L54" s="89">
        <f t="shared" si="3"/>
        <v>45.97</v>
      </c>
      <c r="M54" s="90" t="str">
        <f t="shared" si="4"/>
        <v>Medium</v>
      </c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</row>
    <row r="55">
      <c r="A55" s="89">
        <v>52.0</v>
      </c>
      <c r="B55" s="90" t="s">
        <v>471</v>
      </c>
      <c r="C55" s="90" t="s">
        <v>35</v>
      </c>
      <c r="D55" s="90" t="str">
        <f>IF('2017 Assembly'!G55='2022 Assembly'!G55, "NO", "YES")</f>
        <v>NO</v>
      </c>
      <c r="E55" s="90">
        <f t="shared" si="1"/>
        <v>0</v>
      </c>
      <c r="F55" s="91">
        <f>'2017 Assembly'!O55</f>
        <v>1.27</v>
      </c>
      <c r="G55" s="91">
        <f>'2022 Assembly'!O55</f>
        <v>21.53</v>
      </c>
      <c r="H55" s="91">
        <f t="shared" si="2"/>
        <v>81.04</v>
      </c>
      <c r="I55" s="91">
        <f>IF(ISBLANK('Assembly Competitiveness'!J55),0,IF(ISNUMBER(SEARCH("retained",'Assembly Competitiveness'!J55)),30,100))</f>
        <v>0</v>
      </c>
      <c r="J55" s="91">
        <f>MIN(100,ABS('Assembly Trajectories'!M55)*10)</f>
        <v>52.1</v>
      </c>
      <c r="K55" s="91">
        <f>'Assembly Competitiveness'!N55</f>
        <v>100</v>
      </c>
      <c r="L55" s="89">
        <f t="shared" si="3"/>
        <v>35.47</v>
      </c>
      <c r="M55" s="90" t="str">
        <f t="shared" si="4"/>
        <v>Low</v>
      </c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</row>
    <row r="56">
      <c r="A56" s="89">
        <v>53.0</v>
      </c>
      <c r="B56" s="90" t="s">
        <v>472</v>
      </c>
      <c r="C56" s="90" t="s">
        <v>35</v>
      </c>
      <c r="D56" s="90" t="str">
        <f>IF('2017 Assembly'!G56='2022 Assembly'!G56, "NO", "YES")</f>
        <v>YES</v>
      </c>
      <c r="E56" s="90">
        <f t="shared" si="1"/>
        <v>100</v>
      </c>
      <c r="F56" s="91">
        <f>'2017 Assembly'!O56</f>
        <v>19.96</v>
      </c>
      <c r="G56" s="91">
        <f>'2022 Assembly'!O56</f>
        <v>22.14</v>
      </c>
      <c r="H56" s="91">
        <f t="shared" si="2"/>
        <v>8.72</v>
      </c>
      <c r="I56" s="91">
        <f>IF(ISBLANK('Assembly Competitiveness'!J56),0,IF(ISNUMBER(SEARCH("retained",'Assembly Competitiveness'!J56)),30,100))</f>
        <v>0</v>
      </c>
      <c r="J56" s="91">
        <f>MIN(100,ABS('Assembly Trajectories'!M56)*10)</f>
        <v>18.4</v>
      </c>
      <c r="K56" s="91">
        <f>'Assembly Competitiveness'!N56</f>
        <v>100</v>
      </c>
      <c r="L56" s="89">
        <f t="shared" si="3"/>
        <v>44.02</v>
      </c>
      <c r="M56" s="90" t="str">
        <f t="shared" si="4"/>
        <v>Medium</v>
      </c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</row>
    <row r="57">
      <c r="A57" s="89">
        <v>54.0</v>
      </c>
      <c r="B57" s="90" t="s">
        <v>473</v>
      </c>
      <c r="C57" s="90" t="s">
        <v>35</v>
      </c>
      <c r="D57" s="90" t="str">
        <f>IF('2017 Assembly'!G57='2022 Assembly'!G57, "NO", "YES")</f>
        <v>YES</v>
      </c>
      <c r="E57" s="90">
        <f t="shared" si="1"/>
        <v>100</v>
      </c>
      <c r="F57" s="91">
        <f>'2017 Assembly'!O57</f>
        <v>8.88</v>
      </c>
      <c r="G57" s="91">
        <f>'2022 Assembly'!O57</f>
        <v>33.98</v>
      </c>
      <c r="H57" s="91">
        <f t="shared" si="2"/>
        <v>100</v>
      </c>
      <c r="I57" s="91">
        <f>IF(ISBLANK('Assembly Competitiveness'!J57),0,IF(ISNUMBER(SEARCH("retained",'Assembly Competitiveness'!J57)),30,100))</f>
        <v>0</v>
      </c>
      <c r="J57" s="91">
        <f>MIN(100,ABS('Assembly Trajectories'!M57)*10)</f>
        <v>43.3</v>
      </c>
      <c r="K57" s="91">
        <f>'Assembly Competitiveness'!N57</f>
        <v>0</v>
      </c>
      <c r="L57" s="89">
        <f t="shared" si="3"/>
        <v>59.33</v>
      </c>
      <c r="M57" s="90" t="str">
        <f t="shared" si="4"/>
        <v>High</v>
      </c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</row>
    <row r="58">
      <c r="A58" s="89">
        <v>55.0</v>
      </c>
      <c r="B58" s="90" t="s">
        <v>475</v>
      </c>
      <c r="C58" s="90" t="s">
        <v>35</v>
      </c>
      <c r="D58" s="90" t="str">
        <f>IF('2017 Assembly'!G58='2022 Assembly'!G58, "NO", "YES")</f>
        <v>YES</v>
      </c>
      <c r="E58" s="90">
        <f t="shared" si="1"/>
        <v>100</v>
      </c>
      <c r="F58" s="91">
        <f>'2017 Assembly'!O58</f>
        <v>19.25</v>
      </c>
      <c r="G58" s="91">
        <f>'2022 Assembly'!O58</f>
        <v>25.81</v>
      </c>
      <c r="H58" s="91">
        <f t="shared" si="2"/>
        <v>26.24</v>
      </c>
      <c r="I58" s="91">
        <f>IF(ISBLANK('Assembly Competitiveness'!J58),0,IF(ISNUMBER(SEARCH("retained",'Assembly Competitiveness'!J58)),30,100))</f>
        <v>0</v>
      </c>
      <c r="J58" s="91">
        <f>MIN(100,ABS('Assembly Trajectories'!M58)*10)</f>
        <v>54.3</v>
      </c>
      <c r="K58" s="91">
        <f>'Assembly Competitiveness'!N58</f>
        <v>0</v>
      </c>
      <c r="L58" s="89">
        <f t="shared" si="3"/>
        <v>41.99</v>
      </c>
      <c r="M58" s="90" t="str">
        <f t="shared" si="4"/>
        <v>Medium</v>
      </c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</row>
    <row r="59">
      <c r="A59" s="89">
        <v>56.0</v>
      </c>
      <c r="B59" s="90" t="s">
        <v>476</v>
      </c>
      <c r="C59" s="90" t="s">
        <v>35</v>
      </c>
      <c r="D59" s="90" t="str">
        <f>IF('2017 Assembly'!G59='2022 Assembly'!G59, "NO", "YES")</f>
        <v>YES</v>
      </c>
      <c r="E59" s="90">
        <f t="shared" si="1"/>
        <v>100</v>
      </c>
      <c r="F59" s="91">
        <f>'2017 Assembly'!O59</f>
        <v>3.5</v>
      </c>
      <c r="G59" s="91">
        <f>'2022 Assembly'!O59</f>
        <v>21.74</v>
      </c>
      <c r="H59" s="91">
        <f t="shared" si="2"/>
        <v>72.96</v>
      </c>
      <c r="I59" s="91">
        <f>IF(ISBLANK('Assembly Competitiveness'!J59),0,IF(ISNUMBER(SEARCH("retained",'Assembly Competitiveness'!J59)),30,100))</f>
        <v>0</v>
      </c>
      <c r="J59" s="91">
        <f>MIN(100,ABS('Assembly Trajectories'!M59)*10)</f>
        <v>43.5</v>
      </c>
      <c r="K59" s="91">
        <f>'Assembly Competitiveness'!N59</f>
        <v>100</v>
      </c>
      <c r="L59" s="89">
        <f t="shared" si="3"/>
        <v>62.59</v>
      </c>
      <c r="M59" s="90" t="str">
        <f t="shared" si="4"/>
        <v>High</v>
      </c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</row>
    <row r="60">
      <c r="A60" s="89">
        <v>57.0</v>
      </c>
      <c r="B60" s="90" t="s">
        <v>477</v>
      </c>
      <c r="C60" s="90" t="s">
        <v>35</v>
      </c>
      <c r="D60" s="90" t="str">
        <f>IF('2017 Assembly'!G60='2022 Assembly'!G60, "NO", "YES")</f>
        <v>YES</v>
      </c>
      <c r="E60" s="90">
        <f t="shared" si="1"/>
        <v>100</v>
      </c>
      <c r="F60" s="91">
        <f>'2017 Assembly'!O60</f>
        <v>16.38</v>
      </c>
      <c r="G60" s="91">
        <f>'2022 Assembly'!O60</f>
        <v>27.85</v>
      </c>
      <c r="H60" s="91">
        <f t="shared" si="2"/>
        <v>45.88</v>
      </c>
      <c r="I60" s="91">
        <f>IF(ISBLANK('Assembly Competitiveness'!J60),0,IF(ISNUMBER(SEARCH("retained",'Assembly Competitiveness'!J60)),30,100))</f>
        <v>0</v>
      </c>
      <c r="J60" s="91">
        <f>MIN(100,ABS('Assembly Trajectories'!M60)*10)</f>
        <v>36.8</v>
      </c>
      <c r="K60" s="91">
        <f>'Assembly Competitiveness'!N60</f>
        <v>0</v>
      </c>
      <c r="L60" s="89">
        <f t="shared" si="3"/>
        <v>45.15</v>
      </c>
      <c r="M60" s="90" t="str">
        <f t="shared" si="4"/>
        <v>Medium</v>
      </c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</row>
    <row r="61">
      <c r="A61" s="89">
        <v>58.0</v>
      </c>
      <c r="B61" s="90" t="s">
        <v>478</v>
      </c>
      <c r="C61" s="90" t="s">
        <v>35</v>
      </c>
      <c r="D61" s="90" t="str">
        <f>IF('2017 Assembly'!G61='2022 Assembly'!G61, "NO", "YES")</f>
        <v>YES</v>
      </c>
      <c r="E61" s="90">
        <f t="shared" si="1"/>
        <v>100</v>
      </c>
      <c r="F61" s="91">
        <f>'2017 Assembly'!O61</f>
        <v>8.22</v>
      </c>
      <c r="G61" s="91">
        <f>'2022 Assembly'!O61</f>
        <v>23.3</v>
      </c>
      <c r="H61" s="91">
        <f t="shared" si="2"/>
        <v>60.32</v>
      </c>
      <c r="I61" s="91">
        <f>IF(ISBLANK('Assembly Competitiveness'!J61),0,IF(ISNUMBER(SEARCH("retained",'Assembly Competitiveness'!J61)),30,100))</f>
        <v>0</v>
      </c>
      <c r="J61" s="91">
        <f>MIN(100,ABS('Assembly Trajectories'!M61)*10)</f>
        <v>43.6</v>
      </c>
      <c r="K61" s="91">
        <f>'Assembly Competitiveness'!N61</f>
        <v>100</v>
      </c>
      <c r="L61" s="89">
        <f t="shared" si="3"/>
        <v>59.44</v>
      </c>
      <c r="M61" s="90" t="str">
        <f t="shared" si="4"/>
        <v>High</v>
      </c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</row>
    <row r="62">
      <c r="A62" s="89">
        <v>59.0</v>
      </c>
      <c r="B62" s="90" t="s">
        <v>320</v>
      </c>
      <c r="C62" s="90" t="s">
        <v>35</v>
      </c>
      <c r="D62" s="90" t="str">
        <f>IF('2017 Assembly'!G62='2022 Assembly'!G62, "NO", "YES")</f>
        <v>YES</v>
      </c>
      <c r="E62" s="90">
        <f t="shared" si="1"/>
        <v>100</v>
      </c>
      <c r="F62" s="91">
        <f>'2017 Assembly'!O62</f>
        <v>2.74</v>
      </c>
      <c r="G62" s="91">
        <f>'2022 Assembly'!O62</f>
        <v>8.51</v>
      </c>
      <c r="H62" s="91">
        <f t="shared" si="2"/>
        <v>23.08</v>
      </c>
      <c r="I62" s="91">
        <f>IF(ISBLANK('Assembly Competitiveness'!J62),0,IF(ISNUMBER(SEARCH("retained",'Assembly Competitiveness'!J62)),30,100))</f>
        <v>0</v>
      </c>
      <c r="J62" s="91">
        <f>MIN(100,ABS('Assembly Trajectories'!M62)*10)</f>
        <v>79.7</v>
      </c>
      <c r="K62" s="91">
        <f>'Assembly Competitiveness'!N62</f>
        <v>100</v>
      </c>
      <c r="L62" s="89">
        <f t="shared" si="3"/>
        <v>53.74</v>
      </c>
      <c r="M62" s="90" t="str">
        <f t="shared" si="4"/>
        <v>Medium</v>
      </c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</row>
    <row r="63">
      <c r="A63" s="89">
        <v>60.0</v>
      </c>
      <c r="B63" s="90" t="s">
        <v>479</v>
      </c>
      <c r="C63" s="90" t="s">
        <v>35</v>
      </c>
      <c r="D63" s="90" t="str">
        <f>IF('2017 Assembly'!G63='2022 Assembly'!G63, "NO", "YES")</f>
        <v>YES</v>
      </c>
      <c r="E63" s="90">
        <f t="shared" si="1"/>
        <v>100</v>
      </c>
      <c r="F63" s="91">
        <f>'2017 Assembly'!O63</f>
        <v>1.22</v>
      </c>
      <c r="G63" s="91">
        <f>'2022 Assembly'!O63</f>
        <v>25</v>
      </c>
      <c r="H63" s="91">
        <f t="shared" si="2"/>
        <v>95.12</v>
      </c>
      <c r="I63" s="91">
        <f>IF(ISBLANK('Assembly Competitiveness'!J63),0,IF(ISNUMBER(SEARCH("retained",'Assembly Competitiveness'!J63)),30,100))</f>
        <v>0</v>
      </c>
      <c r="J63" s="91">
        <f>MIN(100,ABS('Assembly Trajectories'!M63)*10)</f>
        <v>45.3</v>
      </c>
      <c r="K63" s="91">
        <f>'Assembly Competitiveness'!N63</f>
        <v>100</v>
      </c>
      <c r="L63" s="89">
        <f t="shared" si="3"/>
        <v>68.31</v>
      </c>
      <c r="M63" s="90" t="str">
        <f t="shared" si="4"/>
        <v>High</v>
      </c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</row>
    <row r="64">
      <c r="A64" s="89">
        <v>61.0</v>
      </c>
      <c r="B64" s="90" t="s">
        <v>481</v>
      </c>
      <c r="C64" s="90" t="s">
        <v>35</v>
      </c>
      <c r="D64" s="90" t="str">
        <f>IF('2017 Assembly'!G64='2022 Assembly'!G64, "NO", "YES")</f>
        <v>YES</v>
      </c>
      <c r="E64" s="90">
        <f t="shared" si="1"/>
        <v>100</v>
      </c>
      <c r="F64" s="91">
        <f>'2017 Assembly'!O64</f>
        <v>30.68</v>
      </c>
      <c r="G64" s="91">
        <f>'2022 Assembly'!O64</f>
        <v>24.92</v>
      </c>
      <c r="H64" s="91">
        <f t="shared" si="2"/>
        <v>23.04</v>
      </c>
      <c r="I64" s="91">
        <f>IF(ISBLANK('Assembly Competitiveness'!J64),0,IF(ISNUMBER(SEARCH("retained",'Assembly Competitiveness'!J64)),30,100))</f>
        <v>0</v>
      </c>
      <c r="J64" s="91">
        <f>MIN(100,ABS('Assembly Trajectories'!M64)*10)</f>
        <v>82.4</v>
      </c>
      <c r="K64" s="91">
        <f>'Assembly Competitiveness'!N64</f>
        <v>100</v>
      </c>
      <c r="L64" s="89">
        <f t="shared" si="3"/>
        <v>54</v>
      </c>
      <c r="M64" s="90" t="str">
        <f t="shared" si="4"/>
        <v>Medium</v>
      </c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</row>
    <row r="65">
      <c r="A65" s="89">
        <v>62.0</v>
      </c>
      <c r="B65" s="90" t="s">
        <v>482</v>
      </c>
      <c r="C65" s="90" t="s">
        <v>35</v>
      </c>
      <c r="D65" s="90" t="str">
        <f>IF('2017 Assembly'!G65='2022 Assembly'!G65, "NO", "YES")</f>
        <v>YES</v>
      </c>
      <c r="E65" s="90">
        <f t="shared" si="1"/>
        <v>100</v>
      </c>
      <c r="F65" s="91">
        <f>'2017 Assembly'!O65</f>
        <v>15.93</v>
      </c>
      <c r="G65" s="91">
        <f>'2022 Assembly'!O65</f>
        <v>15.68</v>
      </c>
      <c r="H65" s="91">
        <f t="shared" si="2"/>
        <v>1</v>
      </c>
      <c r="I65" s="91">
        <f>IF(ISBLANK('Assembly Competitiveness'!J65),0,IF(ISNUMBER(SEARCH("retained",'Assembly Competitiveness'!J65)),30,100))</f>
        <v>0</v>
      </c>
      <c r="J65" s="91">
        <f>MIN(100,ABS('Assembly Trajectories'!M65)*10)</f>
        <v>58.1</v>
      </c>
      <c r="K65" s="91">
        <f>'Assembly Competitiveness'!N65</f>
        <v>100</v>
      </c>
      <c r="L65" s="89">
        <f t="shared" si="3"/>
        <v>46.06</v>
      </c>
      <c r="M65" s="90" t="str">
        <f t="shared" si="4"/>
        <v>Medium</v>
      </c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</row>
    <row r="66">
      <c r="A66" s="89">
        <v>63.0</v>
      </c>
      <c r="B66" s="90" t="s">
        <v>303</v>
      </c>
      <c r="C66" s="90" t="s">
        <v>35</v>
      </c>
      <c r="D66" s="90" t="str">
        <f>IF('2017 Assembly'!G66='2022 Assembly'!G66, "NO", "YES")</f>
        <v>YES</v>
      </c>
      <c r="E66" s="90">
        <f t="shared" si="1"/>
        <v>100</v>
      </c>
      <c r="F66" s="91">
        <f>'2017 Assembly'!O66</f>
        <v>20.09</v>
      </c>
      <c r="G66" s="91">
        <f>'2022 Assembly'!O66</f>
        <v>4.92</v>
      </c>
      <c r="H66" s="91">
        <f t="shared" si="2"/>
        <v>60.68</v>
      </c>
      <c r="I66" s="91">
        <f>IF(ISBLANK('Assembly Competitiveness'!J66),0,IF(ISNUMBER(SEARCH("retained",'Assembly Competitiveness'!J66)),30,100))</f>
        <v>0</v>
      </c>
      <c r="J66" s="91">
        <f>MIN(100,ABS('Assembly Trajectories'!M66)*10)</f>
        <v>71.3</v>
      </c>
      <c r="K66" s="91">
        <f>'Assembly Competitiveness'!N66</f>
        <v>100</v>
      </c>
      <c r="L66" s="89">
        <f t="shared" si="3"/>
        <v>62.3</v>
      </c>
      <c r="M66" s="90" t="str">
        <f t="shared" si="4"/>
        <v>High</v>
      </c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</row>
    <row r="67">
      <c r="A67" s="89">
        <v>64.0</v>
      </c>
      <c r="B67" s="90" t="s">
        <v>220</v>
      </c>
      <c r="C67" s="90" t="s">
        <v>35</v>
      </c>
      <c r="D67" s="90" t="str">
        <f>IF('2017 Assembly'!G67='2022 Assembly'!G67, "NO", "YES")</f>
        <v>YES</v>
      </c>
      <c r="E67" s="90">
        <f t="shared" si="1"/>
        <v>100</v>
      </c>
      <c r="F67" s="91">
        <f>'2017 Assembly'!O67</f>
        <v>30.07</v>
      </c>
      <c r="G67" s="91">
        <f>'2022 Assembly'!O67</f>
        <v>6.47</v>
      </c>
      <c r="H67" s="91">
        <f t="shared" si="2"/>
        <v>94.4</v>
      </c>
      <c r="I67" s="91">
        <f>IF(ISBLANK('Assembly Competitiveness'!J67),0,IF(ISNUMBER(SEARCH("retained",'Assembly Competitiveness'!J67)),30,100))</f>
        <v>30</v>
      </c>
      <c r="J67" s="91">
        <f>MIN(100,ABS('Assembly Trajectories'!M67)*10)</f>
        <v>43.6</v>
      </c>
      <c r="K67" s="91">
        <f>'Assembly Competitiveness'!N67</f>
        <v>100</v>
      </c>
      <c r="L67" s="89">
        <f t="shared" si="3"/>
        <v>75.46</v>
      </c>
      <c r="M67" s="90" t="str">
        <f t="shared" si="4"/>
        <v>Very High</v>
      </c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</row>
    <row r="68">
      <c r="A68" s="89">
        <v>65.0</v>
      </c>
      <c r="B68" s="90" t="s">
        <v>483</v>
      </c>
      <c r="C68" s="90" t="s">
        <v>35</v>
      </c>
      <c r="D68" s="90" t="str">
        <f>IF('2017 Assembly'!G68='2022 Assembly'!G68, "NO", "YES")</f>
        <v>YES</v>
      </c>
      <c r="E68" s="90">
        <f t="shared" si="1"/>
        <v>100</v>
      </c>
      <c r="F68" s="91">
        <f>'2017 Assembly'!O68</f>
        <v>4.16</v>
      </c>
      <c r="G68" s="91">
        <f>'2022 Assembly'!O68</f>
        <v>12.23</v>
      </c>
      <c r="H68" s="91">
        <f t="shared" si="2"/>
        <v>32.28</v>
      </c>
      <c r="I68" s="91">
        <f>IF(ISBLANK('Assembly Competitiveness'!J68),0,IF(ISNUMBER(SEARCH("retained",'Assembly Competitiveness'!J68)),30,100))</f>
        <v>0</v>
      </c>
      <c r="J68" s="91">
        <f>MIN(100,ABS('Assembly Trajectories'!M68)*10)</f>
        <v>63.7</v>
      </c>
      <c r="K68" s="91">
        <f>'Assembly Competitiveness'!N68</f>
        <v>100</v>
      </c>
      <c r="L68" s="89">
        <f t="shared" si="3"/>
        <v>54.44</v>
      </c>
      <c r="M68" s="90" t="str">
        <f t="shared" si="4"/>
        <v>Medium</v>
      </c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</row>
    <row r="69">
      <c r="A69" s="89">
        <v>66.0</v>
      </c>
      <c r="B69" s="90" t="s">
        <v>485</v>
      </c>
      <c r="C69" s="90" t="s">
        <v>35</v>
      </c>
      <c r="D69" s="90" t="str">
        <f>IF('2017 Assembly'!G69='2022 Assembly'!G69, "NO", "YES")</f>
        <v>YES</v>
      </c>
      <c r="E69" s="90">
        <f t="shared" si="1"/>
        <v>100</v>
      </c>
      <c r="F69" s="91">
        <f>'2017 Assembly'!O69</f>
        <v>4.81</v>
      </c>
      <c r="G69" s="91">
        <f>'2022 Assembly'!O69</f>
        <v>31.59</v>
      </c>
      <c r="H69" s="91">
        <f t="shared" si="2"/>
        <v>100</v>
      </c>
      <c r="I69" s="91">
        <f>IF(ISBLANK('Assembly Competitiveness'!J69),0,IF(ISNUMBER(SEARCH("retained",'Assembly Competitiveness'!J69)),30,100))</f>
        <v>0</v>
      </c>
      <c r="J69" s="91">
        <f>MIN(100,ABS('Assembly Trajectories'!M69)*10)</f>
        <v>77.7</v>
      </c>
      <c r="K69" s="91">
        <f>'Assembly Competitiveness'!N69</f>
        <v>100</v>
      </c>
      <c r="L69" s="89">
        <f t="shared" si="3"/>
        <v>72.77</v>
      </c>
      <c r="M69" s="90" t="str">
        <f t="shared" si="4"/>
        <v>Very High</v>
      </c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</row>
    <row r="70">
      <c r="A70" s="89">
        <v>67.0</v>
      </c>
      <c r="B70" s="90" t="s">
        <v>486</v>
      </c>
      <c r="C70" s="90" t="s">
        <v>35</v>
      </c>
      <c r="D70" s="90" t="str">
        <f>IF('2017 Assembly'!G70='2022 Assembly'!G70, "NO", "YES")</f>
        <v>YES</v>
      </c>
      <c r="E70" s="90">
        <f t="shared" si="1"/>
        <v>100</v>
      </c>
      <c r="F70" s="91">
        <f>'2017 Assembly'!O70</f>
        <v>16.44</v>
      </c>
      <c r="G70" s="91">
        <f>'2022 Assembly'!O70</f>
        <v>26.14</v>
      </c>
      <c r="H70" s="91">
        <f t="shared" si="2"/>
        <v>38.8</v>
      </c>
      <c r="I70" s="91">
        <f>IF(ISBLANK('Assembly Competitiveness'!J70),0,IF(ISNUMBER(SEARCH("retained",'Assembly Competitiveness'!J70)),30,100))</f>
        <v>0</v>
      </c>
      <c r="J70" s="91">
        <f>MIN(100,ABS('Assembly Trajectories'!M70)*10)</f>
        <v>56.3</v>
      </c>
      <c r="K70" s="91">
        <f>'Assembly Competitiveness'!N70</f>
        <v>100</v>
      </c>
      <c r="L70" s="89">
        <f t="shared" si="3"/>
        <v>55.33</v>
      </c>
      <c r="M70" s="90" t="str">
        <f t="shared" si="4"/>
        <v>High</v>
      </c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</row>
    <row r="71">
      <c r="A71" s="89">
        <v>68.0</v>
      </c>
      <c r="B71" s="90" t="s">
        <v>34</v>
      </c>
      <c r="C71" s="90" t="s">
        <v>35</v>
      </c>
      <c r="D71" s="90" t="str">
        <f>IF('2017 Assembly'!G71='2022 Assembly'!G71, "NO", "YES")</f>
        <v>YES</v>
      </c>
      <c r="E71" s="90">
        <f t="shared" si="1"/>
        <v>100</v>
      </c>
      <c r="F71" s="91">
        <f>'2017 Assembly'!O71</f>
        <v>2.87</v>
      </c>
      <c r="G71" s="91">
        <f>'2022 Assembly'!O71</f>
        <v>4.1</v>
      </c>
      <c r="H71" s="91">
        <f t="shared" si="2"/>
        <v>4.92</v>
      </c>
      <c r="I71" s="91">
        <f>IF(ISBLANK('Assembly Competitiveness'!J71),0,IF(ISNUMBER(SEARCH("retained",'Assembly Competitiveness'!J71)),30,100))</f>
        <v>100</v>
      </c>
      <c r="J71" s="91">
        <f>MIN(100,ABS('Assembly Trajectories'!M71)*10)</f>
        <v>52</v>
      </c>
      <c r="K71" s="91">
        <f>'Assembly Competitiveness'!N71</f>
        <v>100</v>
      </c>
      <c r="L71" s="89">
        <f t="shared" si="3"/>
        <v>71.43</v>
      </c>
      <c r="M71" s="90" t="str">
        <f t="shared" si="4"/>
        <v>Very High</v>
      </c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</row>
    <row r="72">
      <c r="A72" s="89">
        <v>69.0</v>
      </c>
      <c r="B72" s="90" t="s">
        <v>489</v>
      </c>
      <c r="C72" s="90" t="s">
        <v>35</v>
      </c>
      <c r="D72" s="90" t="str">
        <f>IF('2017 Assembly'!G72='2022 Assembly'!G72, "NO", "YES")</f>
        <v>NO</v>
      </c>
      <c r="E72" s="90">
        <f t="shared" si="1"/>
        <v>0</v>
      </c>
      <c r="F72" s="91">
        <f>'2017 Assembly'!O72</f>
        <v>9.07</v>
      </c>
      <c r="G72" s="91">
        <f>'2022 Assembly'!O72</f>
        <v>24.6</v>
      </c>
      <c r="H72" s="91">
        <f t="shared" si="2"/>
        <v>62.12</v>
      </c>
      <c r="I72" s="91">
        <f>IF(ISBLANK('Assembly Competitiveness'!J72),0,IF(ISNUMBER(SEARCH("retained",'Assembly Competitiveness'!J72)),30,100))</f>
        <v>0</v>
      </c>
      <c r="J72" s="91">
        <f>MIN(100,ABS('Assembly Trajectories'!M72)*10)</f>
        <v>55.4</v>
      </c>
      <c r="K72" s="91">
        <f>'Assembly Competitiveness'!N72</f>
        <v>100</v>
      </c>
      <c r="L72" s="89">
        <f t="shared" si="3"/>
        <v>31.07</v>
      </c>
      <c r="M72" s="90" t="str">
        <f t="shared" si="4"/>
        <v>Low</v>
      </c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</row>
    <row r="73">
      <c r="A73" s="89">
        <v>70.0</v>
      </c>
      <c r="B73" s="90" t="s">
        <v>491</v>
      </c>
      <c r="C73" s="90" t="s">
        <v>35</v>
      </c>
      <c r="D73" s="90" t="str">
        <f>IF('2017 Assembly'!G73='2022 Assembly'!G73, "NO", "YES")</f>
        <v>NO</v>
      </c>
      <c r="E73" s="90">
        <f t="shared" si="1"/>
        <v>0</v>
      </c>
      <c r="F73" s="91">
        <f>'2017 Assembly'!O73</f>
        <v>18.99</v>
      </c>
      <c r="G73" s="91">
        <f>'2022 Assembly'!O73</f>
        <v>31.87</v>
      </c>
      <c r="H73" s="91">
        <f t="shared" si="2"/>
        <v>51.52</v>
      </c>
      <c r="I73" s="91">
        <f>IF(ISBLANK('Assembly Competitiveness'!J73),0,IF(ISNUMBER(SEARCH("retained",'Assembly Competitiveness'!J73)),30,100))</f>
        <v>0</v>
      </c>
      <c r="J73" s="91">
        <f>MIN(100,ABS('Assembly Trajectories'!M73)*10)</f>
        <v>89.2</v>
      </c>
      <c r="K73" s="91">
        <f>'Assembly Competitiveness'!N73</f>
        <v>100</v>
      </c>
      <c r="L73" s="89">
        <f t="shared" si="3"/>
        <v>31.8</v>
      </c>
      <c r="M73" s="90" t="str">
        <f t="shared" si="4"/>
        <v>Low</v>
      </c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</row>
    <row r="74">
      <c r="A74" s="89">
        <v>71.0</v>
      </c>
      <c r="B74" s="90" t="s">
        <v>493</v>
      </c>
      <c r="C74" s="90" t="s">
        <v>35</v>
      </c>
      <c r="D74" s="90" t="str">
        <f>IF('2017 Assembly'!G74='2022 Assembly'!G74, "NO", "YES")</f>
        <v>NO</v>
      </c>
      <c r="E74" s="90">
        <f t="shared" si="1"/>
        <v>0</v>
      </c>
      <c r="F74" s="91">
        <f>'2017 Assembly'!O74</f>
        <v>18.34</v>
      </c>
      <c r="G74" s="91">
        <f>'2022 Assembly'!O74</f>
        <v>27.07</v>
      </c>
      <c r="H74" s="91">
        <f t="shared" si="2"/>
        <v>34.92</v>
      </c>
      <c r="I74" s="91">
        <f>IF(ISBLANK('Assembly Competitiveness'!J74),0,IF(ISNUMBER(SEARCH("retained",'Assembly Competitiveness'!J74)),30,100))</f>
        <v>0</v>
      </c>
      <c r="J74" s="91">
        <f>MIN(100,ABS('Assembly Trajectories'!M74)*10)</f>
        <v>70.8</v>
      </c>
      <c r="K74" s="91">
        <f>'Assembly Competitiveness'!N74</f>
        <v>100</v>
      </c>
      <c r="L74" s="89">
        <f t="shared" si="3"/>
        <v>25.81</v>
      </c>
      <c r="M74" s="90" t="str">
        <f t="shared" si="4"/>
        <v>Low</v>
      </c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</row>
    <row r="75">
      <c r="A75" s="89">
        <v>72.0</v>
      </c>
      <c r="B75" s="90" t="s">
        <v>494</v>
      </c>
      <c r="C75" s="90" t="s">
        <v>35</v>
      </c>
      <c r="D75" s="90" t="str">
        <f>IF('2017 Assembly'!G75='2022 Assembly'!G75, "NO", "YES")</f>
        <v>YES</v>
      </c>
      <c r="E75" s="90">
        <f t="shared" si="1"/>
        <v>100</v>
      </c>
      <c r="F75" s="91">
        <f>'2017 Assembly'!O75</f>
        <v>5.29</v>
      </c>
      <c r="G75" s="91">
        <f>'2022 Assembly'!O75</f>
        <v>25.56</v>
      </c>
      <c r="H75" s="91">
        <f t="shared" si="2"/>
        <v>81.08</v>
      </c>
      <c r="I75" s="91">
        <f>IF(ISBLANK('Assembly Competitiveness'!J75),0,IF(ISNUMBER(SEARCH("retained",'Assembly Competitiveness'!J75)),30,100))</f>
        <v>0</v>
      </c>
      <c r="J75" s="91">
        <f>MIN(100,ABS('Assembly Trajectories'!M75)*10)</f>
        <v>43.7</v>
      </c>
      <c r="K75" s="91">
        <f>'Assembly Competitiveness'!N75</f>
        <v>100</v>
      </c>
      <c r="L75" s="89">
        <f t="shared" si="3"/>
        <v>64.64</v>
      </c>
      <c r="M75" s="90" t="str">
        <f t="shared" si="4"/>
        <v>High</v>
      </c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</row>
    <row r="76">
      <c r="A76" s="89">
        <v>73.0</v>
      </c>
      <c r="B76" s="90" t="s">
        <v>495</v>
      </c>
      <c r="C76" s="90" t="s">
        <v>35</v>
      </c>
      <c r="D76" s="90" t="str">
        <f>IF('2017 Assembly'!G76='2022 Assembly'!G76, "NO", "YES")</f>
        <v>YES</v>
      </c>
      <c r="E76" s="90">
        <f t="shared" si="1"/>
        <v>100</v>
      </c>
      <c r="F76" s="91">
        <f>'2017 Assembly'!O76</f>
        <v>1.22</v>
      </c>
      <c r="G76" s="91">
        <f>'2022 Assembly'!O76</f>
        <v>14.59</v>
      </c>
      <c r="H76" s="91">
        <f t="shared" si="2"/>
        <v>53.48</v>
      </c>
      <c r="I76" s="91">
        <f>IF(ISBLANK('Assembly Competitiveness'!J76),0,IF(ISNUMBER(SEARCH("retained",'Assembly Competitiveness'!J76)),30,100))</f>
        <v>0</v>
      </c>
      <c r="J76" s="91">
        <f>MIN(100,ABS('Assembly Trajectories'!M76)*10)</f>
        <v>40.4</v>
      </c>
      <c r="K76" s="91">
        <f>'Assembly Competitiveness'!N76</f>
        <v>100</v>
      </c>
      <c r="L76" s="89">
        <f t="shared" si="3"/>
        <v>57.41</v>
      </c>
      <c r="M76" s="90" t="str">
        <f t="shared" si="4"/>
        <v>High</v>
      </c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</row>
    <row r="77">
      <c r="A77" s="89">
        <v>74.0</v>
      </c>
      <c r="B77" s="90" t="s">
        <v>496</v>
      </c>
      <c r="C77" s="90" t="s">
        <v>35</v>
      </c>
      <c r="D77" s="90" t="str">
        <f>IF('2017 Assembly'!G77='2022 Assembly'!G77, "NO", "YES")</f>
        <v>YES</v>
      </c>
      <c r="E77" s="90">
        <f t="shared" si="1"/>
        <v>100</v>
      </c>
      <c r="F77" s="91">
        <f>'2017 Assembly'!O77</f>
        <v>15.54</v>
      </c>
      <c r="G77" s="91">
        <f>'2022 Assembly'!O77</f>
        <v>21.19</v>
      </c>
      <c r="H77" s="91">
        <f t="shared" si="2"/>
        <v>22.6</v>
      </c>
      <c r="I77" s="91">
        <f>IF(ISBLANK('Assembly Competitiveness'!J77),0,IF(ISNUMBER(SEARCH("retained",'Assembly Competitiveness'!J77)),30,100))</f>
        <v>0</v>
      </c>
      <c r="J77" s="91">
        <f>MIN(100,ABS('Assembly Trajectories'!M77)*10)</f>
        <v>41</v>
      </c>
      <c r="K77" s="91">
        <f>'Assembly Competitiveness'!N77</f>
        <v>100</v>
      </c>
      <c r="L77" s="89">
        <f t="shared" si="3"/>
        <v>49.75</v>
      </c>
      <c r="M77" s="90" t="str">
        <f t="shared" si="4"/>
        <v>Medium</v>
      </c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</row>
    <row r="78">
      <c r="A78" s="89">
        <v>75.0</v>
      </c>
      <c r="B78" s="90" t="s">
        <v>497</v>
      </c>
      <c r="C78" s="90" t="s">
        <v>35</v>
      </c>
      <c r="D78" s="90" t="str">
        <f>IF('2017 Assembly'!G78='2022 Assembly'!G78, "NO", "YES")</f>
        <v>YES</v>
      </c>
      <c r="E78" s="90">
        <f t="shared" si="1"/>
        <v>100</v>
      </c>
      <c r="F78" s="91">
        <f>'2017 Assembly'!O78</f>
        <v>15.3</v>
      </c>
      <c r="G78" s="91">
        <f>'2022 Assembly'!O78</f>
        <v>15.13</v>
      </c>
      <c r="H78" s="91">
        <f t="shared" si="2"/>
        <v>0.68</v>
      </c>
      <c r="I78" s="91">
        <f>IF(ISBLANK('Assembly Competitiveness'!J78),0,IF(ISNUMBER(SEARCH("retained",'Assembly Competitiveness'!J78)),30,100))</f>
        <v>0</v>
      </c>
      <c r="J78" s="91">
        <f>MIN(100,ABS('Assembly Trajectories'!M78)*10)</f>
        <v>44.3</v>
      </c>
      <c r="K78" s="91">
        <f>'Assembly Competitiveness'!N78</f>
        <v>100</v>
      </c>
      <c r="L78" s="89">
        <f t="shared" si="3"/>
        <v>44.6</v>
      </c>
      <c r="M78" s="90" t="str">
        <f t="shared" si="4"/>
        <v>Medium</v>
      </c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</row>
    <row r="79">
      <c r="A79" s="89">
        <v>76.0</v>
      </c>
      <c r="B79" s="90" t="s">
        <v>499</v>
      </c>
      <c r="C79" s="90" t="s">
        <v>35</v>
      </c>
      <c r="D79" s="90" t="str">
        <f>IF('2017 Assembly'!G79='2022 Assembly'!G79, "NO", "YES")</f>
        <v>YES</v>
      </c>
      <c r="E79" s="90">
        <f t="shared" si="1"/>
        <v>100</v>
      </c>
      <c r="F79" s="91">
        <f>'2017 Assembly'!O79</f>
        <v>23.76</v>
      </c>
      <c r="G79" s="91">
        <f>'2022 Assembly'!O79</f>
        <v>15.78</v>
      </c>
      <c r="H79" s="91">
        <f t="shared" si="2"/>
        <v>31.92</v>
      </c>
      <c r="I79" s="91">
        <f>IF(ISBLANK('Assembly Competitiveness'!J79),0,IF(ISNUMBER(SEARCH("retained",'Assembly Competitiveness'!J79)),30,100))</f>
        <v>0</v>
      </c>
      <c r="J79" s="91">
        <f>MIN(100,ABS('Assembly Trajectories'!M79)*10)</f>
        <v>18.7</v>
      </c>
      <c r="K79" s="91">
        <f>'Assembly Competitiveness'!N79</f>
        <v>100</v>
      </c>
      <c r="L79" s="89">
        <f t="shared" si="3"/>
        <v>49.85</v>
      </c>
      <c r="M79" s="90" t="str">
        <f t="shared" si="4"/>
        <v>Medium</v>
      </c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</row>
    <row r="80">
      <c r="A80" s="89">
        <v>77.0</v>
      </c>
      <c r="B80" s="90" t="s">
        <v>501</v>
      </c>
      <c r="C80" s="90" t="s">
        <v>35</v>
      </c>
      <c r="D80" s="90" t="str">
        <f>IF('2017 Assembly'!G80='2022 Assembly'!G80, "NO", "YES")</f>
        <v>YES</v>
      </c>
      <c r="E80" s="90">
        <f t="shared" si="1"/>
        <v>100</v>
      </c>
      <c r="F80" s="91">
        <f>'2017 Assembly'!O80</f>
        <v>13.72</v>
      </c>
      <c r="G80" s="91">
        <f>'2022 Assembly'!O80</f>
        <v>18.34</v>
      </c>
      <c r="H80" s="91">
        <f t="shared" si="2"/>
        <v>18.48</v>
      </c>
      <c r="I80" s="91">
        <f>IF(ISBLANK('Assembly Competitiveness'!J80),0,IF(ISNUMBER(SEARCH("retained",'Assembly Competitiveness'!J80)),30,100))</f>
        <v>0</v>
      </c>
      <c r="J80" s="91">
        <f>MIN(100,ABS('Assembly Trajectories'!M80)*10)</f>
        <v>66.7</v>
      </c>
      <c r="K80" s="91">
        <f>'Assembly Competitiveness'!N80</f>
        <v>100</v>
      </c>
      <c r="L80" s="89">
        <f t="shared" si="3"/>
        <v>51.29</v>
      </c>
      <c r="M80" s="90" t="str">
        <f t="shared" si="4"/>
        <v>Medium</v>
      </c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</row>
    <row r="81">
      <c r="A81" s="89">
        <v>78.0</v>
      </c>
      <c r="B81" s="90" t="s">
        <v>506</v>
      </c>
      <c r="C81" s="90" t="s">
        <v>35</v>
      </c>
      <c r="D81" s="90" t="str">
        <f>IF('2017 Assembly'!G81='2022 Assembly'!G81, "NO", "YES")</f>
        <v>YES</v>
      </c>
      <c r="E81" s="90">
        <f t="shared" si="1"/>
        <v>100</v>
      </c>
      <c r="F81" s="91">
        <f>'2017 Assembly'!O81</f>
        <v>4.24</v>
      </c>
      <c r="G81" s="91">
        <f>'2022 Assembly'!O81</f>
        <v>7.61</v>
      </c>
      <c r="H81" s="91">
        <f t="shared" si="2"/>
        <v>13.48</v>
      </c>
      <c r="I81" s="91">
        <f>IF(ISBLANK('Assembly Competitiveness'!J81),0,IF(ISNUMBER(SEARCH("retained",'Assembly Competitiveness'!J81)),30,100))</f>
        <v>0</v>
      </c>
      <c r="J81" s="91">
        <f>MIN(100,ABS('Assembly Trajectories'!M81)*10)</f>
        <v>61.5</v>
      </c>
      <c r="K81" s="91">
        <f>'Assembly Competitiveness'!N81</f>
        <v>100</v>
      </c>
      <c r="L81" s="89">
        <f t="shared" si="3"/>
        <v>49.52</v>
      </c>
      <c r="M81" s="90" t="str">
        <f t="shared" si="4"/>
        <v>Medium</v>
      </c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</row>
    <row r="82">
      <c r="A82" s="89">
        <v>79.0</v>
      </c>
      <c r="B82" s="90" t="s">
        <v>508</v>
      </c>
      <c r="C82" s="90" t="s">
        <v>35</v>
      </c>
      <c r="D82" s="90" t="str">
        <f>IF('2017 Assembly'!G82='2022 Assembly'!G82, "NO", "YES")</f>
        <v>YES</v>
      </c>
      <c r="E82" s="90">
        <f t="shared" si="1"/>
        <v>100</v>
      </c>
      <c r="F82" s="91">
        <f>'2017 Assembly'!O82</f>
        <v>11.02</v>
      </c>
      <c r="G82" s="91">
        <f>'2022 Assembly'!O82</f>
        <v>17.99</v>
      </c>
      <c r="H82" s="91">
        <f t="shared" si="2"/>
        <v>27.88</v>
      </c>
      <c r="I82" s="91">
        <f>IF(ISBLANK('Assembly Competitiveness'!J82),0,IF(ISNUMBER(SEARCH("retained",'Assembly Competitiveness'!J82)),30,100))</f>
        <v>0</v>
      </c>
      <c r="J82" s="91">
        <f>MIN(100,ABS('Assembly Trajectories'!M82)*10)</f>
        <v>57.4</v>
      </c>
      <c r="K82" s="91">
        <f>'Assembly Competitiveness'!N82</f>
        <v>100</v>
      </c>
      <c r="L82" s="89">
        <f t="shared" si="3"/>
        <v>52.71</v>
      </c>
      <c r="M82" s="90" t="str">
        <f t="shared" si="4"/>
        <v>Medium</v>
      </c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</row>
    <row r="83">
      <c r="A83" s="89">
        <v>80.0</v>
      </c>
      <c r="B83" s="90" t="s">
        <v>510</v>
      </c>
      <c r="C83" s="90" t="s">
        <v>35</v>
      </c>
      <c r="D83" s="90" t="str">
        <f>IF('2017 Assembly'!G83='2022 Assembly'!G83, "NO", "YES")</f>
        <v>YES</v>
      </c>
      <c r="E83" s="90">
        <f t="shared" si="1"/>
        <v>100</v>
      </c>
      <c r="F83" s="91">
        <f>'2017 Assembly'!O83</f>
        <v>0.19</v>
      </c>
      <c r="G83" s="91">
        <f>'2022 Assembly'!O83</f>
        <v>19.19</v>
      </c>
      <c r="H83" s="91">
        <f t="shared" si="2"/>
        <v>76</v>
      </c>
      <c r="I83" s="91">
        <f>IF(ISBLANK('Assembly Competitiveness'!J83),0,IF(ISNUMBER(SEARCH("retained",'Assembly Competitiveness'!J83)),30,100))</f>
        <v>0</v>
      </c>
      <c r="J83" s="91">
        <f>MIN(100,ABS('Assembly Trajectories'!M83)*10)</f>
        <v>51.2</v>
      </c>
      <c r="K83" s="91">
        <f>'Assembly Competitiveness'!N83</f>
        <v>100</v>
      </c>
      <c r="L83" s="89">
        <f t="shared" si="3"/>
        <v>64.12</v>
      </c>
      <c r="M83" s="90" t="str">
        <f t="shared" si="4"/>
        <v>High</v>
      </c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</row>
    <row r="84">
      <c r="A84" s="89">
        <v>81.0</v>
      </c>
      <c r="B84" s="90" t="s">
        <v>270</v>
      </c>
      <c r="C84" s="90" t="s">
        <v>35</v>
      </c>
      <c r="D84" s="90" t="str">
        <f>IF('2017 Assembly'!G84='2022 Assembly'!G84, "NO", "YES")</f>
        <v>YES</v>
      </c>
      <c r="E84" s="90">
        <f t="shared" si="1"/>
        <v>100</v>
      </c>
      <c r="F84" s="91">
        <f>'2017 Assembly'!O84</f>
        <v>2.65</v>
      </c>
      <c r="G84" s="91">
        <f>'2022 Assembly'!O84</f>
        <v>4.13</v>
      </c>
      <c r="H84" s="91">
        <f t="shared" si="2"/>
        <v>5.92</v>
      </c>
      <c r="I84" s="91">
        <f>IF(ISBLANK('Assembly Competitiveness'!J84),0,IF(ISNUMBER(SEARCH("retained",'Assembly Competitiveness'!J84)),30,100))</f>
        <v>0</v>
      </c>
      <c r="J84" s="91">
        <f>MIN(100,ABS('Assembly Trajectories'!M84)*10)</f>
        <v>31.4</v>
      </c>
      <c r="K84" s="91">
        <f>'Assembly Competitiveness'!N84</f>
        <v>100</v>
      </c>
      <c r="L84" s="89">
        <f t="shared" si="3"/>
        <v>44.62</v>
      </c>
      <c r="M84" s="90" t="str">
        <f t="shared" si="4"/>
        <v>Medium</v>
      </c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</row>
    <row r="85">
      <c r="A85" s="89">
        <v>82.0</v>
      </c>
      <c r="B85" s="90" t="s">
        <v>512</v>
      </c>
      <c r="C85" s="90" t="s">
        <v>35</v>
      </c>
      <c r="D85" s="90" t="str">
        <f>IF('2017 Assembly'!G85='2022 Assembly'!G85, "NO", "YES")</f>
        <v>YES</v>
      </c>
      <c r="E85" s="90">
        <f t="shared" si="1"/>
        <v>100</v>
      </c>
      <c r="F85" s="91">
        <f>'2017 Assembly'!O85</f>
        <v>10.91</v>
      </c>
      <c r="G85" s="91">
        <f>'2022 Assembly'!O85</f>
        <v>13.43</v>
      </c>
      <c r="H85" s="91">
        <f t="shared" si="2"/>
        <v>10.08</v>
      </c>
      <c r="I85" s="91">
        <f>IF(ISBLANK('Assembly Competitiveness'!J85),0,IF(ISNUMBER(SEARCH("retained",'Assembly Competitiveness'!J85)),30,100))</f>
        <v>0</v>
      </c>
      <c r="J85" s="91">
        <f>MIN(100,ABS('Assembly Trajectories'!M85)*10)</f>
        <v>46.8</v>
      </c>
      <c r="K85" s="91">
        <f>'Assembly Competitiveness'!N85</f>
        <v>100</v>
      </c>
      <c r="L85" s="89">
        <f t="shared" si="3"/>
        <v>47.2</v>
      </c>
      <c r="M85" s="90" t="str">
        <f t="shared" si="4"/>
        <v>Medium</v>
      </c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</row>
    <row r="86">
      <c r="A86" s="89">
        <v>83.0</v>
      </c>
      <c r="B86" s="90" t="s">
        <v>513</v>
      </c>
      <c r="C86" s="90" t="s">
        <v>35</v>
      </c>
      <c r="D86" s="90" t="str">
        <f>IF('2017 Assembly'!G86='2022 Assembly'!G86, "NO", "YES")</f>
        <v>YES</v>
      </c>
      <c r="E86" s="90">
        <f t="shared" si="1"/>
        <v>100</v>
      </c>
      <c r="F86" s="91">
        <f>'2017 Assembly'!O86</f>
        <v>17.13</v>
      </c>
      <c r="G86" s="91">
        <f>'2022 Assembly'!O86</f>
        <v>8.47</v>
      </c>
      <c r="H86" s="91">
        <f t="shared" si="2"/>
        <v>34.64</v>
      </c>
      <c r="I86" s="91">
        <f>IF(ISBLANK('Assembly Competitiveness'!J86),0,IF(ISNUMBER(SEARCH("retained",'Assembly Competitiveness'!J86)),30,100))</f>
        <v>0</v>
      </c>
      <c r="J86" s="91">
        <f>MIN(100,ABS('Assembly Trajectories'!M86)*10)</f>
        <v>31.4</v>
      </c>
      <c r="K86" s="91">
        <f>'Assembly Competitiveness'!N86</f>
        <v>100</v>
      </c>
      <c r="L86" s="89">
        <f t="shared" si="3"/>
        <v>51.8</v>
      </c>
      <c r="M86" s="90" t="str">
        <f t="shared" si="4"/>
        <v>Medium</v>
      </c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</row>
    <row r="87">
      <c r="A87" s="89">
        <v>84.0</v>
      </c>
      <c r="B87" s="90" t="s">
        <v>148</v>
      </c>
      <c r="C87" s="90" t="s">
        <v>35</v>
      </c>
      <c r="D87" s="90" t="str">
        <f>IF('2017 Assembly'!G87='2022 Assembly'!G87, "NO", "YES")</f>
        <v>NO</v>
      </c>
      <c r="E87" s="90">
        <f t="shared" si="1"/>
        <v>0</v>
      </c>
      <c r="F87" s="91">
        <f>'2017 Assembly'!O87</f>
        <v>11.72</v>
      </c>
      <c r="G87" s="91">
        <f>'2022 Assembly'!O87</f>
        <v>0.95</v>
      </c>
      <c r="H87" s="91">
        <f t="shared" si="2"/>
        <v>43.08</v>
      </c>
      <c r="I87" s="91">
        <f>IF(ISBLANK('Assembly Competitiveness'!J87),0,IF(ISNUMBER(SEARCH("retained",'Assembly Competitiveness'!J87)),30,100))</f>
        <v>100</v>
      </c>
      <c r="J87" s="91">
        <f>MIN(100,ABS('Assembly Trajectories'!M87)*10)</f>
        <v>27.3</v>
      </c>
      <c r="K87" s="91">
        <f>'Assembly Competitiveness'!N87</f>
        <v>100</v>
      </c>
      <c r="L87" s="89">
        <f t="shared" si="3"/>
        <v>48.5</v>
      </c>
      <c r="M87" s="90" t="str">
        <f t="shared" si="4"/>
        <v>Medium</v>
      </c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</row>
    <row r="88">
      <c r="A88" s="89">
        <v>85.0</v>
      </c>
      <c r="B88" s="90" t="s">
        <v>514</v>
      </c>
      <c r="C88" s="90" t="s">
        <v>35</v>
      </c>
      <c r="D88" s="90" t="str">
        <f>IF('2017 Assembly'!G88='2022 Assembly'!G88, "NO", "YES")</f>
        <v>YES</v>
      </c>
      <c r="E88" s="90">
        <f t="shared" si="1"/>
        <v>100</v>
      </c>
      <c r="F88" s="91">
        <f>'2017 Assembly'!O88</f>
        <v>3.69</v>
      </c>
      <c r="G88" s="91">
        <f>'2022 Assembly'!O88</f>
        <v>29.12</v>
      </c>
      <c r="H88" s="91">
        <f t="shared" si="2"/>
        <v>100</v>
      </c>
      <c r="I88" s="91">
        <f>IF(ISBLANK('Assembly Competitiveness'!J88),0,IF(ISNUMBER(SEARCH("retained",'Assembly Competitiveness'!J88)),30,100))</f>
        <v>0</v>
      </c>
      <c r="J88" s="91">
        <f>MIN(100,ABS('Assembly Trajectories'!M88)*10)</f>
        <v>34.2</v>
      </c>
      <c r="K88" s="91">
        <f>'Assembly Competitiveness'!N88</f>
        <v>100</v>
      </c>
      <c r="L88" s="89">
        <f t="shared" si="3"/>
        <v>68.42</v>
      </c>
      <c r="M88" s="90" t="str">
        <f t="shared" si="4"/>
        <v>High</v>
      </c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</row>
    <row r="89">
      <c r="A89" s="89">
        <v>86.0</v>
      </c>
      <c r="B89" s="90" t="s">
        <v>516</v>
      </c>
      <c r="C89" s="90" t="s">
        <v>35</v>
      </c>
      <c r="D89" s="90" t="str">
        <f>IF('2017 Assembly'!G89='2022 Assembly'!G89, "NO", "YES")</f>
        <v>YES</v>
      </c>
      <c r="E89" s="90">
        <f t="shared" si="1"/>
        <v>100</v>
      </c>
      <c r="F89" s="91">
        <f>'2017 Assembly'!O89</f>
        <v>5.46</v>
      </c>
      <c r="G89" s="91">
        <f>'2022 Assembly'!O89</f>
        <v>23.02</v>
      </c>
      <c r="H89" s="91">
        <f t="shared" si="2"/>
        <v>70.24</v>
      </c>
      <c r="I89" s="91">
        <f>IF(ISBLANK('Assembly Competitiveness'!J89),0,IF(ISNUMBER(SEARCH("retained",'Assembly Competitiveness'!J89)),30,100))</f>
        <v>0</v>
      </c>
      <c r="J89" s="91">
        <f>MIN(100,ABS('Assembly Trajectories'!M89)*10)</f>
        <v>41</v>
      </c>
      <c r="K89" s="91">
        <f>'Assembly Competitiveness'!N89</f>
        <v>0</v>
      </c>
      <c r="L89" s="89">
        <f t="shared" si="3"/>
        <v>51.66</v>
      </c>
      <c r="M89" s="90" t="str">
        <f t="shared" si="4"/>
        <v>Medium</v>
      </c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</row>
    <row r="90">
      <c r="A90" s="89">
        <v>87.0</v>
      </c>
      <c r="B90" s="90" t="s">
        <v>517</v>
      </c>
      <c r="C90" s="90" t="s">
        <v>35</v>
      </c>
      <c r="D90" s="90" t="str">
        <f>IF('2017 Assembly'!G90='2022 Assembly'!G90, "NO", "YES")</f>
        <v>YES</v>
      </c>
      <c r="E90" s="90">
        <f t="shared" si="1"/>
        <v>100</v>
      </c>
      <c r="F90" s="91">
        <f>'2017 Assembly'!O90</f>
        <v>9.28</v>
      </c>
      <c r="G90" s="91">
        <f>'2022 Assembly'!O90</f>
        <v>13.01</v>
      </c>
      <c r="H90" s="91">
        <f t="shared" si="2"/>
        <v>14.92</v>
      </c>
      <c r="I90" s="91">
        <f>IF(ISBLANK('Assembly Competitiveness'!J90),0,IF(ISNUMBER(SEARCH("retained",'Assembly Competitiveness'!J90)),30,100))</f>
        <v>0</v>
      </c>
      <c r="J90" s="91">
        <f>MIN(100,ABS('Assembly Trajectories'!M90)*10)</f>
        <v>53.6</v>
      </c>
      <c r="K90" s="91">
        <f>'Assembly Competitiveness'!N90</f>
        <v>0</v>
      </c>
      <c r="L90" s="89">
        <f t="shared" si="3"/>
        <v>39.09</v>
      </c>
      <c r="M90" s="90" t="str">
        <f t="shared" si="4"/>
        <v>Low</v>
      </c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</row>
    <row r="91">
      <c r="A91" s="89">
        <v>88.0</v>
      </c>
      <c r="B91" s="90" t="s">
        <v>518</v>
      </c>
      <c r="C91" s="90" t="s">
        <v>35</v>
      </c>
      <c r="D91" s="90" t="str">
        <f>IF('2017 Assembly'!G91='2022 Assembly'!G91, "NO", "YES")</f>
        <v>NO</v>
      </c>
      <c r="E91" s="90">
        <f t="shared" si="1"/>
        <v>0</v>
      </c>
      <c r="F91" s="91">
        <f>'2017 Assembly'!O91</f>
        <v>8.28</v>
      </c>
      <c r="G91" s="91">
        <f>'2022 Assembly'!O91</f>
        <v>17.27</v>
      </c>
      <c r="H91" s="91">
        <f t="shared" si="2"/>
        <v>35.96</v>
      </c>
      <c r="I91" s="91">
        <f>IF(ISBLANK('Assembly Competitiveness'!J91),0,IF(ISNUMBER(SEARCH("retained",'Assembly Competitiveness'!J91)),30,100))</f>
        <v>0</v>
      </c>
      <c r="J91" s="91">
        <f>MIN(100,ABS('Assembly Trajectories'!M91)*10)</f>
        <v>31.1</v>
      </c>
      <c r="K91" s="91">
        <f>'Assembly Competitiveness'!N91</f>
        <v>0</v>
      </c>
      <c r="L91" s="89">
        <f t="shared" si="3"/>
        <v>12.1</v>
      </c>
      <c r="M91" s="90" t="str">
        <f t="shared" si="4"/>
        <v>Low</v>
      </c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</row>
    <row r="92">
      <c r="A92" s="89">
        <v>89.0</v>
      </c>
      <c r="B92" s="90" t="s">
        <v>520</v>
      </c>
      <c r="C92" s="90" t="s">
        <v>35</v>
      </c>
      <c r="D92" s="90" t="str">
        <f>IF('2017 Assembly'!G92='2022 Assembly'!G92, "NO", "YES")</f>
        <v>NO</v>
      </c>
      <c r="E92" s="90">
        <f t="shared" si="1"/>
        <v>0</v>
      </c>
      <c r="F92" s="91">
        <f>'2017 Assembly'!O92</f>
        <v>8.39</v>
      </c>
      <c r="G92" s="91">
        <f>'2022 Assembly'!O92</f>
        <v>28.41</v>
      </c>
      <c r="H92" s="91">
        <f t="shared" si="2"/>
        <v>80.08</v>
      </c>
      <c r="I92" s="91">
        <f>IF(ISBLANK('Assembly Competitiveness'!J92),0,IF(ISNUMBER(SEARCH("retained",'Assembly Competitiveness'!J92)),30,100))</f>
        <v>0</v>
      </c>
      <c r="J92" s="91">
        <f>MIN(100,ABS('Assembly Trajectories'!M92)*10)</f>
        <v>65.3</v>
      </c>
      <c r="K92" s="91">
        <f>'Assembly Competitiveness'!N92</f>
        <v>100</v>
      </c>
      <c r="L92" s="89">
        <f t="shared" si="3"/>
        <v>36.55</v>
      </c>
      <c r="M92" s="90" t="str">
        <f t="shared" si="4"/>
        <v>Low</v>
      </c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</row>
    <row r="93">
      <c r="A93" s="89">
        <v>90.0</v>
      </c>
      <c r="B93" s="90" t="s">
        <v>522</v>
      </c>
      <c r="C93" s="90" t="s">
        <v>35</v>
      </c>
      <c r="D93" s="90" t="str">
        <f>IF('2017 Assembly'!G93='2022 Assembly'!G93, "NO", "YES")</f>
        <v>YES</v>
      </c>
      <c r="E93" s="90">
        <f t="shared" si="1"/>
        <v>100</v>
      </c>
      <c r="F93" s="91">
        <f>'2017 Assembly'!O93</f>
        <v>7.63</v>
      </c>
      <c r="G93" s="91">
        <f>'2022 Assembly'!O93</f>
        <v>7.69</v>
      </c>
      <c r="H93" s="91">
        <f t="shared" si="2"/>
        <v>0.24</v>
      </c>
      <c r="I93" s="91">
        <f>IF(ISBLANK('Assembly Competitiveness'!J93),0,IF(ISNUMBER(SEARCH("retained",'Assembly Competitiveness'!J93)),30,100))</f>
        <v>0</v>
      </c>
      <c r="J93" s="91">
        <f>MIN(100,ABS('Assembly Trajectories'!M93)*10)</f>
        <v>61.7</v>
      </c>
      <c r="K93" s="91">
        <f>'Assembly Competitiveness'!N93</f>
        <v>100</v>
      </c>
      <c r="L93" s="89">
        <f t="shared" si="3"/>
        <v>46.23</v>
      </c>
      <c r="M93" s="90" t="str">
        <f t="shared" si="4"/>
        <v>Medium</v>
      </c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</row>
    <row r="94">
      <c r="A94" s="89">
        <v>91.0</v>
      </c>
      <c r="B94" s="90" t="s">
        <v>523</v>
      </c>
      <c r="C94" s="90" t="s">
        <v>35</v>
      </c>
      <c r="D94" s="90" t="str">
        <f>IF('2017 Assembly'!G94='2022 Assembly'!G94, "NO", "YES")</f>
        <v>YES</v>
      </c>
      <c r="E94" s="90">
        <f t="shared" si="1"/>
        <v>100</v>
      </c>
      <c r="F94" s="91">
        <f>'2017 Assembly'!O94</f>
        <v>0.43</v>
      </c>
      <c r="G94" s="91">
        <f>'2022 Assembly'!O94</f>
        <v>33.89</v>
      </c>
      <c r="H94" s="91">
        <f t="shared" si="2"/>
        <v>100</v>
      </c>
      <c r="I94" s="91">
        <f>IF(ISBLANK('Assembly Competitiveness'!J94),0,IF(ISNUMBER(SEARCH("retained",'Assembly Competitiveness'!J94)),30,100))</f>
        <v>0</v>
      </c>
      <c r="J94" s="91">
        <f>MIN(100,ABS('Assembly Trajectories'!M94)*10)</f>
        <v>32.8</v>
      </c>
      <c r="K94" s="91">
        <f>'Assembly Competitiveness'!N94</f>
        <v>100</v>
      </c>
      <c r="L94" s="89">
        <f t="shared" si="3"/>
        <v>68.28</v>
      </c>
      <c r="M94" s="90" t="str">
        <f t="shared" si="4"/>
        <v>High</v>
      </c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</row>
    <row r="95">
      <c r="A95" s="89">
        <v>92.0</v>
      </c>
      <c r="B95" s="90" t="s">
        <v>524</v>
      </c>
      <c r="C95" s="90" t="s">
        <v>35</v>
      </c>
      <c r="D95" s="90" t="str">
        <f>IF('2017 Assembly'!G95='2022 Assembly'!G95, "NO", "YES")</f>
        <v>YES</v>
      </c>
      <c r="E95" s="90">
        <f t="shared" si="1"/>
        <v>100</v>
      </c>
      <c r="F95" s="91">
        <f>'2017 Assembly'!O95</f>
        <v>12.3</v>
      </c>
      <c r="G95" s="91">
        <f>'2022 Assembly'!O95</f>
        <v>39.37</v>
      </c>
      <c r="H95" s="91">
        <f t="shared" si="2"/>
        <v>100</v>
      </c>
      <c r="I95" s="91">
        <f>IF(ISBLANK('Assembly Competitiveness'!J95),0,IF(ISNUMBER(SEARCH("retained",'Assembly Competitiveness'!J95)),30,100))</f>
        <v>0</v>
      </c>
      <c r="J95" s="91">
        <f>MIN(100,ABS('Assembly Trajectories'!M95)*10)</f>
        <v>22.7</v>
      </c>
      <c r="K95" s="91">
        <f>'Assembly Competitiveness'!N95</f>
        <v>100</v>
      </c>
      <c r="L95" s="89">
        <f t="shared" si="3"/>
        <v>67.27</v>
      </c>
      <c r="M95" s="90" t="str">
        <f t="shared" si="4"/>
        <v>High</v>
      </c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</row>
    <row r="96">
      <c r="A96" s="89">
        <v>93.0</v>
      </c>
      <c r="B96" s="90" t="s">
        <v>526</v>
      </c>
      <c r="C96" s="90" t="s">
        <v>35</v>
      </c>
      <c r="D96" s="90" t="str">
        <f>IF('2017 Assembly'!G96='2022 Assembly'!G96, "NO", "YES")</f>
        <v>NO</v>
      </c>
      <c r="E96" s="90">
        <f t="shared" si="1"/>
        <v>0</v>
      </c>
      <c r="F96" s="91">
        <f>'2017 Assembly'!O96</f>
        <v>8.56</v>
      </c>
      <c r="G96" s="91">
        <f>'2022 Assembly'!O96</f>
        <v>28.81</v>
      </c>
      <c r="H96" s="91">
        <f t="shared" si="2"/>
        <v>81</v>
      </c>
      <c r="I96" s="91">
        <f>IF(ISBLANK('Assembly Competitiveness'!J96),0,IF(ISNUMBER(SEARCH("retained",'Assembly Competitiveness'!J96)),30,100))</f>
        <v>0</v>
      </c>
      <c r="J96" s="91">
        <f>MIN(100,ABS('Assembly Trajectories'!M96)*10)</f>
        <v>28.3</v>
      </c>
      <c r="K96" s="91">
        <f>'Assembly Competitiveness'!N96</f>
        <v>100</v>
      </c>
      <c r="L96" s="89">
        <f t="shared" si="3"/>
        <v>33.08</v>
      </c>
      <c r="M96" s="90" t="str">
        <f t="shared" si="4"/>
        <v>Low</v>
      </c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</row>
    <row r="97">
      <c r="A97" s="89">
        <v>94.0</v>
      </c>
      <c r="B97" s="90" t="s">
        <v>527</v>
      </c>
      <c r="C97" s="90" t="s">
        <v>35</v>
      </c>
      <c r="D97" s="90" t="str">
        <f>IF('2017 Assembly'!G97='2022 Assembly'!G97, "NO", "YES")</f>
        <v>NO</v>
      </c>
      <c r="E97" s="90">
        <f t="shared" si="1"/>
        <v>0</v>
      </c>
      <c r="F97" s="91">
        <f>'2017 Assembly'!O97</f>
        <v>15.09</v>
      </c>
      <c r="G97" s="91">
        <f>'2022 Assembly'!O97</f>
        <v>11.68</v>
      </c>
      <c r="H97" s="91">
        <f t="shared" si="2"/>
        <v>13.64</v>
      </c>
      <c r="I97" s="91">
        <f>IF(ISBLANK('Assembly Competitiveness'!J97),0,IF(ISNUMBER(SEARCH("retained",'Assembly Competitiveness'!J97)),30,100))</f>
        <v>0</v>
      </c>
      <c r="J97" s="91">
        <f>MIN(100,ABS('Assembly Trajectories'!M97)*10)</f>
        <v>18.7</v>
      </c>
      <c r="K97" s="91">
        <f>'Assembly Competitiveness'!N97</f>
        <v>100</v>
      </c>
      <c r="L97" s="89">
        <f t="shared" si="3"/>
        <v>15.28</v>
      </c>
      <c r="M97" s="90" t="str">
        <f t="shared" si="4"/>
        <v>Low</v>
      </c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</row>
    <row r="98">
      <c r="A98" s="89">
        <v>95.0</v>
      </c>
      <c r="B98" s="90" t="s">
        <v>528</v>
      </c>
      <c r="C98" s="90" t="s">
        <v>35</v>
      </c>
      <c r="D98" s="90" t="str">
        <f>IF('2017 Assembly'!G98='2022 Assembly'!G98, "NO", "YES")</f>
        <v>NO</v>
      </c>
      <c r="E98" s="90">
        <f t="shared" si="1"/>
        <v>0</v>
      </c>
      <c r="F98" s="91">
        <f>'2017 Assembly'!O98</f>
        <v>10.73</v>
      </c>
      <c r="G98" s="91">
        <f>'2022 Assembly'!O98</f>
        <v>25.98</v>
      </c>
      <c r="H98" s="91">
        <f t="shared" si="2"/>
        <v>61</v>
      </c>
      <c r="I98" s="91">
        <f>IF(ISBLANK('Assembly Competitiveness'!J98),0,IF(ISNUMBER(SEARCH("retained",'Assembly Competitiveness'!J98)),30,100))</f>
        <v>0</v>
      </c>
      <c r="J98" s="91">
        <f>MIN(100,ABS('Assembly Trajectories'!M98)*10)</f>
        <v>34.2</v>
      </c>
      <c r="K98" s="91">
        <f>'Assembly Competitiveness'!N98</f>
        <v>0</v>
      </c>
      <c r="L98" s="89">
        <f t="shared" si="3"/>
        <v>18.67</v>
      </c>
      <c r="M98" s="90" t="str">
        <f t="shared" si="4"/>
        <v>Low</v>
      </c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</row>
    <row r="99">
      <c r="A99" s="89">
        <v>96.0</v>
      </c>
      <c r="B99" s="90" t="s">
        <v>529</v>
      </c>
      <c r="C99" s="90" t="s">
        <v>35</v>
      </c>
      <c r="D99" s="90" t="str">
        <f>IF('2017 Assembly'!G99='2022 Assembly'!G99, "NO", "YES")</f>
        <v>NO</v>
      </c>
      <c r="E99" s="90">
        <f t="shared" si="1"/>
        <v>0</v>
      </c>
      <c r="F99" s="91">
        <f>'2017 Assembly'!O99</f>
        <v>11.83</v>
      </c>
      <c r="G99" s="91">
        <f>'2022 Assembly'!O99</f>
        <v>36.68</v>
      </c>
      <c r="H99" s="91">
        <f t="shared" si="2"/>
        <v>99.4</v>
      </c>
      <c r="I99" s="91">
        <f>IF(ISBLANK('Assembly Competitiveness'!J99),0,IF(ISNUMBER(SEARCH("retained",'Assembly Competitiveness'!J99)),30,100))</f>
        <v>0</v>
      </c>
      <c r="J99" s="91">
        <f>MIN(100,ABS('Assembly Trajectories'!M99)*10)</f>
        <v>44.4</v>
      </c>
      <c r="K99" s="91">
        <f>'Assembly Competitiveness'!N99</f>
        <v>0</v>
      </c>
      <c r="L99" s="89">
        <f t="shared" si="3"/>
        <v>29.29</v>
      </c>
      <c r="M99" s="90" t="str">
        <f t="shared" si="4"/>
        <v>Low</v>
      </c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</row>
    <row r="100">
      <c r="A100" s="89">
        <v>97.0</v>
      </c>
      <c r="B100" s="90" t="s">
        <v>531</v>
      </c>
      <c r="C100" s="90" t="s">
        <v>35</v>
      </c>
      <c r="D100" s="90" t="str">
        <f>IF('2017 Assembly'!G100='2022 Assembly'!G100, "NO", "YES")</f>
        <v>YES</v>
      </c>
      <c r="E100" s="90">
        <f t="shared" si="1"/>
        <v>100</v>
      </c>
      <c r="F100" s="91">
        <f>'2017 Assembly'!O100</f>
        <v>5.8</v>
      </c>
      <c r="G100" s="91">
        <f>'2022 Assembly'!O100</f>
        <v>27.19</v>
      </c>
      <c r="H100" s="91">
        <f t="shared" si="2"/>
        <v>85.56</v>
      </c>
      <c r="I100" s="91">
        <f>IF(ISBLANK('Assembly Competitiveness'!J100),0,IF(ISNUMBER(SEARCH("retained",'Assembly Competitiveness'!J100)),30,100))</f>
        <v>0</v>
      </c>
      <c r="J100" s="91">
        <f>MIN(100,ABS('Assembly Trajectories'!M100)*10)</f>
        <v>45.7</v>
      </c>
      <c r="K100" s="91">
        <f>'Assembly Competitiveness'!N100</f>
        <v>0</v>
      </c>
      <c r="L100" s="89">
        <f t="shared" si="3"/>
        <v>55.96</v>
      </c>
      <c r="M100" s="90" t="str">
        <f t="shared" si="4"/>
        <v>High</v>
      </c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</row>
    <row r="101">
      <c r="A101" s="89">
        <v>98.0</v>
      </c>
      <c r="B101" s="90" t="s">
        <v>532</v>
      </c>
      <c r="C101" s="90" t="s">
        <v>35</v>
      </c>
      <c r="D101" s="90" t="str">
        <f>IF('2017 Assembly'!G101='2022 Assembly'!G101, "NO", "YES")</f>
        <v>NO</v>
      </c>
      <c r="E101" s="90">
        <f t="shared" si="1"/>
        <v>0</v>
      </c>
      <c r="F101" s="91">
        <f>'2017 Assembly'!O101</f>
        <v>0.79</v>
      </c>
      <c r="G101" s="91">
        <f>'2022 Assembly'!O101</f>
        <v>32.41</v>
      </c>
      <c r="H101" s="91">
        <f t="shared" si="2"/>
        <v>100</v>
      </c>
      <c r="I101" s="91">
        <f>IF(ISBLANK('Assembly Competitiveness'!J101),0,IF(ISNUMBER(SEARCH("retained",'Assembly Competitiveness'!J101)),30,100))</f>
        <v>0</v>
      </c>
      <c r="J101" s="91">
        <f>MIN(100,ABS('Assembly Trajectories'!M101)*10)</f>
        <v>55.3</v>
      </c>
      <c r="K101" s="91">
        <f>'Assembly Competitiveness'!N101</f>
        <v>100</v>
      </c>
      <c r="L101" s="89">
        <f t="shared" si="3"/>
        <v>40.53</v>
      </c>
      <c r="M101" s="90" t="str">
        <f t="shared" si="4"/>
        <v>Medium</v>
      </c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</row>
    <row r="102">
      <c r="A102" s="89">
        <v>99.0</v>
      </c>
      <c r="B102" s="90" t="s">
        <v>533</v>
      </c>
      <c r="C102" s="90" t="s">
        <v>35</v>
      </c>
      <c r="D102" s="90" t="str">
        <f>IF('2017 Assembly'!G102='2022 Assembly'!G102, "NO", "YES")</f>
        <v>YES</v>
      </c>
      <c r="E102" s="90">
        <f t="shared" si="1"/>
        <v>100</v>
      </c>
      <c r="F102" s="91">
        <f>'2017 Assembly'!O102</f>
        <v>19.54</v>
      </c>
      <c r="G102" s="91">
        <f>'2022 Assembly'!O102</f>
        <v>19.4</v>
      </c>
      <c r="H102" s="91">
        <f t="shared" si="2"/>
        <v>0.56</v>
      </c>
      <c r="I102" s="91">
        <f>IF(ISBLANK('Assembly Competitiveness'!J102),0,IF(ISNUMBER(SEARCH("retained",'Assembly Competitiveness'!J102)),30,100))</f>
        <v>0</v>
      </c>
      <c r="J102" s="91">
        <f>MIN(100,ABS('Assembly Trajectories'!M102)*10)</f>
        <v>50.3</v>
      </c>
      <c r="K102" s="91">
        <f>'Assembly Competitiveness'!N102</f>
        <v>0</v>
      </c>
      <c r="L102" s="89">
        <f t="shared" si="3"/>
        <v>35.17</v>
      </c>
      <c r="M102" s="90" t="str">
        <f t="shared" si="4"/>
        <v>Low</v>
      </c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</row>
    <row r="103">
      <c r="A103" s="89">
        <v>100.0</v>
      </c>
      <c r="B103" s="90" t="s">
        <v>534</v>
      </c>
      <c r="C103" s="90" t="s">
        <v>35</v>
      </c>
      <c r="D103" s="90" t="str">
        <f>IF('2017 Assembly'!G103='2022 Assembly'!G103, "NO", "YES")</f>
        <v>NO</v>
      </c>
      <c r="E103" s="90">
        <f t="shared" si="1"/>
        <v>0</v>
      </c>
      <c r="F103" s="91">
        <f>'2017 Assembly'!O103</f>
        <v>1.14</v>
      </c>
      <c r="G103" s="91">
        <f>'2022 Assembly'!O103</f>
        <v>35.11</v>
      </c>
      <c r="H103" s="91">
        <f t="shared" si="2"/>
        <v>100</v>
      </c>
      <c r="I103" s="91">
        <f>IF(ISBLANK('Assembly Competitiveness'!J103),0,IF(ISNUMBER(SEARCH("retained",'Assembly Competitiveness'!J103)),30,100))</f>
        <v>0</v>
      </c>
      <c r="J103" s="91">
        <f>MIN(100,ABS('Assembly Trajectories'!M103)*10)</f>
        <v>39.2</v>
      </c>
      <c r="K103" s="91">
        <f>'Assembly Competitiveness'!N103</f>
        <v>0</v>
      </c>
      <c r="L103" s="89">
        <f t="shared" si="3"/>
        <v>28.92</v>
      </c>
      <c r="M103" s="90" t="str">
        <f t="shared" si="4"/>
        <v>Low</v>
      </c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</row>
    <row r="104">
      <c r="A104" s="89">
        <v>101.0</v>
      </c>
      <c r="B104" s="90" t="s">
        <v>536</v>
      </c>
      <c r="C104" s="90" t="s">
        <v>35</v>
      </c>
      <c r="D104" s="90" t="str">
        <f>IF('2017 Assembly'!G104='2022 Assembly'!G104, "NO", "YES")</f>
        <v>NO</v>
      </c>
      <c r="E104" s="90">
        <f t="shared" si="1"/>
        <v>0</v>
      </c>
      <c r="F104" s="91">
        <f>'2017 Assembly'!O104</f>
        <v>19.72</v>
      </c>
      <c r="G104" s="91">
        <f>'2022 Assembly'!O104</f>
        <v>49.14</v>
      </c>
      <c r="H104" s="91">
        <f t="shared" si="2"/>
        <v>100</v>
      </c>
      <c r="I104" s="91">
        <f>IF(ISBLANK('Assembly Competitiveness'!J104),0,IF(ISNUMBER(SEARCH("retained",'Assembly Competitiveness'!J104)),30,100))</f>
        <v>0</v>
      </c>
      <c r="J104" s="91">
        <f>MIN(100,ABS('Assembly Trajectories'!M104)*10)</f>
        <v>44</v>
      </c>
      <c r="K104" s="91">
        <f>'Assembly Competitiveness'!N104</f>
        <v>0</v>
      </c>
      <c r="L104" s="89">
        <f t="shared" si="3"/>
        <v>29.4</v>
      </c>
      <c r="M104" s="90" t="str">
        <f t="shared" si="4"/>
        <v>Low</v>
      </c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</row>
    <row r="105">
      <c r="A105" s="89">
        <v>102.0</v>
      </c>
      <c r="B105" s="90" t="s">
        <v>537</v>
      </c>
      <c r="C105" s="90" t="s">
        <v>35</v>
      </c>
      <c r="D105" s="90" t="str">
        <f>IF('2017 Assembly'!G105='2022 Assembly'!G105, "NO", "YES")</f>
        <v>NO</v>
      </c>
      <c r="E105" s="90">
        <f t="shared" si="1"/>
        <v>0</v>
      </c>
      <c r="F105" s="91">
        <f>'2017 Assembly'!O105</f>
        <v>16.43</v>
      </c>
      <c r="G105" s="91">
        <f>'2022 Assembly'!O105</f>
        <v>30.19</v>
      </c>
      <c r="H105" s="91">
        <f t="shared" si="2"/>
        <v>55.04</v>
      </c>
      <c r="I105" s="91">
        <f>IF(ISBLANK('Assembly Competitiveness'!J105),0,IF(ISNUMBER(SEARCH("retained",'Assembly Competitiveness'!J105)),30,100))</f>
        <v>0</v>
      </c>
      <c r="J105" s="91">
        <f>MIN(100,ABS('Assembly Trajectories'!M105)*10)</f>
        <v>35.6</v>
      </c>
      <c r="K105" s="91">
        <f>'Assembly Competitiveness'!N105</f>
        <v>0</v>
      </c>
      <c r="L105" s="89">
        <f t="shared" si="3"/>
        <v>17.32</v>
      </c>
      <c r="M105" s="90" t="str">
        <f t="shared" si="4"/>
        <v>Low</v>
      </c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</row>
    <row r="106">
      <c r="A106" s="89">
        <v>103.0</v>
      </c>
      <c r="B106" s="90" t="s">
        <v>538</v>
      </c>
      <c r="C106" s="90" t="s">
        <v>35</v>
      </c>
      <c r="D106" s="90" t="str">
        <f>IF('2017 Assembly'!G106='2022 Assembly'!G106, "NO", "YES")</f>
        <v>NO</v>
      </c>
      <c r="E106" s="90">
        <f t="shared" si="1"/>
        <v>0</v>
      </c>
      <c r="F106" s="91">
        <f>'2017 Assembly'!O106</f>
        <v>1.82</v>
      </c>
      <c r="G106" s="91">
        <f>'2022 Assembly'!O106</f>
        <v>28.79</v>
      </c>
      <c r="H106" s="91">
        <f t="shared" si="2"/>
        <v>100</v>
      </c>
      <c r="I106" s="91">
        <f>IF(ISBLANK('Assembly Competitiveness'!J106),0,IF(ISNUMBER(SEARCH("retained",'Assembly Competitiveness'!J106)),30,100))</f>
        <v>100</v>
      </c>
      <c r="J106" s="91">
        <f>MIN(100,ABS('Assembly Trajectories'!M106)*10)</f>
        <v>56.9</v>
      </c>
      <c r="K106" s="91">
        <f>'Assembly Competitiveness'!N106</f>
        <v>0</v>
      </c>
      <c r="L106" s="89">
        <f t="shared" si="3"/>
        <v>55.69</v>
      </c>
      <c r="M106" s="90" t="str">
        <f t="shared" si="4"/>
        <v>High</v>
      </c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</row>
    <row r="107">
      <c r="A107" s="89">
        <v>104.0</v>
      </c>
      <c r="B107" s="90" t="s">
        <v>540</v>
      </c>
      <c r="C107" s="90" t="s">
        <v>35</v>
      </c>
      <c r="D107" s="90" t="str">
        <f>IF('2017 Assembly'!G107='2022 Assembly'!G107, "NO", "YES")</f>
        <v>NO</v>
      </c>
      <c r="E107" s="90">
        <f t="shared" si="1"/>
        <v>0</v>
      </c>
      <c r="F107" s="91">
        <f>'2017 Assembly'!O107</f>
        <v>21.69</v>
      </c>
      <c r="G107" s="91">
        <f>'2022 Assembly'!O107</f>
        <v>26.47</v>
      </c>
      <c r="H107" s="91">
        <f t="shared" si="2"/>
        <v>19.12</v>
      </c>
      <c r="I107" s="91">
        <f>IF(ISBLANK('Assembly Competitiveness'!J107),0,IF(ISNUMBER(SEARCH("retained",'Assembly Competitiveness'!J107)),30,100))</f>
        <v>0</v>
      </c>
      <c r="J107" s="91">
        <f>MIN(100,ABS('Assembly Trajectories'!M107)*10)</f>
        <v>87.1</v>
      </c>
      <c r="K107" s="91">
        <f>'Assembly Competitiveness'!N107</f>
        <v>0</v>
      </c>
      <c r="L107" s="89">
        <f t="shared" si="3"/>
        <v>13.49</v>
      </c>
      <c r="M107" s="90" t="str">
        <f t="shared" si="4"/>
        <v>Low</v>
      </c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</row>
    <row r="108">
      <c r="A108" s="89">
        <v>105.0</v>
      </c>
      <c r="B108" s="90" t="s">
        <v>542</v>
      </c>
      <c r="C108" s="90" t="s">
        <v>35</v>
      </c>
      <c r="D108" s="90" t="str">
        <f>IF('2017 Assembly'!G108='2022 Assembly'!G108, "NO", "YES")</f>
        <v>YES</v>
      </c>
      <c r="E108" s="90">
        <f t="shared" si="1"/>
        <v>100</v>
      </c>
      <c r="F108" s="91">
        <f>'2017 Assembly'!O108</f>
        <v>10.11</v>
      </c>
      <c r="G108" s="91">
        <f>'2022 Assembly'!O108</f>
        <v>17.3</v>
      </c>
      <c r="H108" s="91">
        <f t="shared" si="2"/>
        <v>28.76</v>
      </c>
      <c r="I108" s="91">
        <f>IF(ISBLANK('Assembly Competitiveness'!J108),0,IF(ISNUMBER(SEARCH("retained",'Assembly Competitiveness'!J108)),30,100))</f>
        <v>0</v>
      </c>
      <c r="J108" s="91">
        <f>MIN(100,ABS('Assembly Trajectories'!M108)*10)</f>
        <v>55.7</v>
      </c>
      <c r="K108" s="91">
        <f>'Assembly Competitiveness'!N108</f>
        <v>100</v>
      </c>
      <c r="L108" s="89">
        <f t="shared" si="3"/>
        <v>52.76</v>
      </c>
      <c r="M108" s="90" t="str">
        <f t="shared" si="4"/>
        <v>Medium</v>
      </c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</row>
    <row r="109">
      <c r="A109" s="89">
        <v>106.0</v>
      </c>
      <c r="B109" s="90" t="s">
        <v>543</v>
      </c>
      <c r="C109" s="90" t="s">
        <v>35</v>
      </c>
      <c r="D109" s="90" t="str">
        <f>IF('2017 Assembly'!G109='2022 Assembly'!G109, "NO", "YES")</f>
        <v>YES</v>
      </c>
      <c r="E109" s="90">
        <f t="shared" si="1"/>
        <v>100</v>
      </c>
      <c r="F109" s="91">
        <f>'2017 Assembly'!O109</f>
        <v>9.09</v>
      </c>
      <c r="G109" s="91">
        <f>'2022 Assembly'!O109</f>
        <v>4.67</v>
      </c>
      <c r="H109" s="91">
        <f t="shared" si="2"/>
        <v>17.68</v>
      </c>
      <c r="I109" s="91">
        <f>IF(ISBLANK('Assembly Competitiveness'!J109),0,IF(ISNUMBER(SEARCH("retained",'Assembly Competitiveness'!J109)),30,100))</f>
        <v>0</v>
      </c>
      <c r="J109" s="91">
        <f>MIN(100,ABS('Assembly Trajectories'!M109)*10)</f>
        <v>57</v>
      </c>
      <c r="K109" s="91">
        <f>'Assembly Competitiveness'!N109</f>
        <v>0</v>
      </c>
      <c r="L109" s="89">
        <f t="shared" si="3"/>
        <v>40.12</v>
      </c>
      <c r="M109" s="90" t="str">
        <f t="shared" si="4"/>
        <v>Medium</v>
      </c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</row>
    <row r="110">
      <c r="A110" s="89">
        <v>107.0</v>
      </c>
      <c r="B110" s="90" t="s">
        <v>544</v>
      </c>
      <c r="C110" s="90" t="s">
        <v>35</v>
      </c>
      <c r="D110" s="90" t="str">
        <f>IF('2017 Assembly'!G110='2022 Assembly'!G110, "NO", "YES")</f>
        <v>YES</v>
      </c>
      <c r="E110" s="90">
        <f t="shared" si="1"/>
        <v>100</v>
      </c>
      <c r="F110" s="91">
        <f>'2017 Assembly'!O110</f>
        <v>2.2</v>
      </c>
      <c r="G110" s="91">
        <f>'2022 Assembly'!O110</f>
        <v>45.59</v>
      </c>
      <c r="H110" s="91">
        <f t="shared" si="2"/>
        <v>100</v>
      </c>
      <c r="I110" s="91">
        <f>IF(ISBLANK('Assembly Competitiveness'!J110),0,IF(ISNUMBER(SEARCH("retained",'Assembly Competitiveness'!J110)),30,100))</f>
        <v>0</v>
      </c>
      <c r="J110" s="91">
        <f>MIN(100,ABS('Assembly Trajectories'!M110)*10)</f>
        <v>32.9</v>
      </c>
      <c r="K110" s="91">
        <f>'Assembly Competitiveness'!N110</f>
        <v>0</v>
      </c>
      <c r="L110" s="89">
        <f t="shared" si="3"/>
        <v>58.29</v>
      </c>
      <c r="M110" s="90" t="str">
        <f t="shared" si="4"/>
        <v>High</v>
      </c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</row>
    <row r="111">
      <c r="A111" s="89">
        <v>108.0</v>
      </c>
      <c r="B111" s="90" t="s">
        <v>545</v>
      </c>
      <c r="C111" s="90" t="s">
        <v>35</v>
      </c>
      <c r="D111" s="90" t="str">
        <f>IF('2017 Assembly'!G111='2022 Assembly'!G111, "NO", "YES")</f>
        <v>YES</v>
      </c>
      <c r="E111" s="90">
        <f t="shared" si="1"/>
        <v>100</v>
      </c>
      <c r="F111" s="91">
        <f>'2017 Assembly'!O111</f>
        <v>21.7</v>
      </c>
      <c r="G111" s="91">
        <f>'2022 Assembly'!O111</f>
        <v>25.29</v>
      </c>
      <c r="H111" s="91">
        <f t="shared" si="2"/>
        <v>14.36</v>
      </c>
      <c r="I111" s="91">
        <f>IF(ISBLANK('Assembly Competitiveness'!J111),0,IF(ISNUMBER(SEARCH("retained",'Assembly Competitiveness'!J111)),30,100))</f>
        <v>0</v>
      </c>
      <c r="J111" s="91">
        <f>MIN(100,ABS('Assembly Trajectories'!M111)*10)</f>
        <v>41.4</v>
      </c>
      <c r="K111" s="91">
        <f>'Assembly Competitiveness'!N111</f>
        <v>0</v>
      </c>
      <c r="L111" s="89">
        <f t="shared" si="3"/>
        <v>37.73</v>
      </c>
      <c r="M111" s="90" t="str">
        <f t="shared" si="4"/>
        <v>Low</v>
      </c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</row>
    <row r="112">
      <c r="A112" s="89">
        <v>109.0</v>
      </c>
      <c r="B112" s="90" t="s">
        <v>547</v>
      </c>
      <c r="C112" s="90" t="s">
        <v>35</v>
      </c>
      <c r="D112" s="90" t="str">
        <f>IF('2017 Assembly'!G112='2022 Assembly'!G112, "NO", "YES")</f>
        <v>YES</v>
      </c>
      <c r="E112" s="90">
        <f t="shared" si="1"/>
        <v>100</v>
      </c>
      <c r="F112" s="91">
        <f>'2017 Assembly'!O112</f>
        <v>13.46</v>
      </c>
      <c r="G112" s="91">
        <f>'2022 Assembly'!O112</f>
        <v>37.2</v>
      </c>
      <c r="H112" s="91">
        <f t="shared" si="2"/>
        <v>94.96</v>
      </c>
      <c r="I112" s="91">
        <f>IF(ISBLANK('Assembly Competitiveness'!J112),0,IF(ISNUMBER(SEARCH("retained",'Assembly Competitiveness'!J112)),30,100))</f>
        <v>0</v>
      </c>
      <c r="J112" s="91">
        <f>MIN(100,ABS('Assembly Trajectories'!M112)*10)</f>
        <v>32.8</v>
      </c>
      <c r="K112" s="91">
        <f>'Assembly Competitiveness'!N112</f>
        <v>100</v>
      </c>
      <c r="L112" s="89">
        <f t="shared" si="3"/>
        <v>67.02</v>
      </c>
      <c r="M112" s="90" t="str">
        <f t="shared" si="4"/>
        <v>High</v>
      </c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</row>
    <row r="113">
      <c r="A113" s="89">
        <v>110.0</v>
      </c>
      <c r="B113" s="90" t="s">
        <v>548</v>
      </c>
      <c r="C113" s="90" t="s">
        <v>35</v>
      </c>
      <c r="D113" s="90" t="str">
        <f>IF('2017 Assembly'!G113='2022 Assembly'!G113, "NO", "YES")</f>
        <v>YES</v>
      </c>
      <c r="E113" s="90">
        <f t="shared" si="1"/>
        <v>100</v>
      </c>
      <c r="F113" s="91">
        <f>'2017 Assembly'!O113</f>
        <v>18.69</v>
      </c>
      <c r="G113" s="91">
        <f>'2022 Assembly'!O113</f>
        <v>36.26</v>
      </c>
      <c r="H113" s="91">
        <f t="shared" si="2"/>
        <v>70.28</v>
      </c>
      <c r="I113" s="91">
        <f>IF(ISBLANK('Assembly Competitiveness'!J113),0,IF(ISNUMBER(SEARCH("retained",'Assembly Competitiveness'!J113)),30,100))</f>
        <v>0</v>
      </c>
      <c r="J113" s="91">
        <f>MIN(100,ABS('Assembly Trajectories'!M113)*10)</f>
        <v>52.7</v>
      </c>
      <c r="K113" s="91">
        <f>'Assembly Competitiveness'!N113</f>
        <v>0</v>
      </c>
      <c r="L113" s="89">
        <f t="shared" si="3"/>
        <v>52.84</v>
      </c>
      <c r="M113" s="90" t="str">
        <f t="shared" si="4"/>
        <v>Medium</v>
      </c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</row>
    <row r="114">
      <c r="A114" s="89">
        <v>111.0</v>
      </c>
      <c r="B114" s="90" t="s">
        <v>549</v>
      </c>
      <c r="C114" s="90" t="s">
        <v>35</v>
      </c>
      <c r="D114" s="90" t="str">
        <f>IF('2017 Assembly'!G114='2022 Assembly'!G114, "NO", "YES")</f>
        <v>YES</v>
      </c>
      <c r="E114" s="90">
        <f t="shared" si="1"/>
        <v>100</v>
      </c>
      <c r="F114" s="91">
        <f>'2017 Assembly'!O114</f>
        <v>25.63</v>
      </c>
      <c r="G114" s="91">
        <f>'2022 Assembly'!O114</f>
        <v>16.56</v>
      </c>
      <c r="H114" s="91">
        <f t="shared" si="2"/>
        <v>36.28</v>
      </c>
      <c r="I114" s="91">
        <f>IF(ISBLANK('Assembly Competitiveness'!J114),0,IF(ISNUMBER(SEARCH("retained",'Assembly Competitiveness'!J114)),30,100))</f>
        <v>0</v>
      </c>
      <c r="J114" s="91">
        <f>MIN(100,ABS('Assembly Trajectories'!M114)*10)</f>
        <v>13.9</v>
      </c>
      <c r="K114" s="91">
        <f>'Assembly Competitiveness'!N114</f>
        <v>100</v>
      </c>
      <c r="L114" s="89">
        <f t="shared" si="3"/>
        <v>50.46</v>
      </c>
      <c r="M114" s="90" t="str">
        <f t="shared" si="4"/>
        <v>Medium</v>
      </c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</row>
    <row r="115">
      <c r="A115" s="89">
        <v>112.0</v>
      </c>
      <c r="B115" s="90" t="s">
        <v>551</v>
      </c>
      <c r="C115" s="90" t="s">
        <v>35</v>
      </c>
      <c r="D115" s="90" t="str">
        <f>IF('2017 Assembly'!G115='2022 Assembly'!G115, "NO", "YES")</f>
        <v>YES</v>
      </c>
      <c r="E115" s="90">
        <f t="shared" si="1"/>
        <v>100</v>
      </c>
      <c r="F115" s="91">
        <f>'2017 Assembly'!O115</f>
        <v>1.09</v>
      </c>
      <c r="G115" s="91">
        <f>'2022 Assembly'!O115</f>
        <v>10.96</v>
      </c>
      <c r="H115" s="91">
        <f t="shared" si="2"/>
        <v>39.48</v>
      </c>
      <c r="I115" s="91">
        <f>IF(ISBLANK('Assembly Competitiveness'!J115),0,IF(ISNUMBER(SEARCH("retained",'Assembly Competitiveness'!J115)),30,100))</f>
        <v>0</v>
      </c>
      <c r="J115" s="91">
        <f>MIN(100,ABS('Assembly Trajectories'!M115)*10)</f>
        <v>45.2</v>
      </c>
      <c r="K115" s="91">
        <f>'Assembly Competitiveness'!N115</f>
        <v>100</v>
      </c>
      <c r="L115" s="89">
        <f t="shared" si="3"/>
        <v>54.39</v>
      </c>
      <c r="M115" s="90" t="str">
        <f t="shared" si="4"/>
        <v>Medium</v>
      </c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</row>
    <row r="116">
      <c r="A116" s="89">
        <v>113.0</v>
      </c>
      <c r="B116" s="90" t="s">
        <v>553</v>
      </c>
      <c r="C116" s="90" t="s">
        <v>35</v>
      </c>
      <c r="D116" s="90" t="str">
        <f>IF('2017 Assembly'!G116='2022 Assembly'!G116, "NO", "YES")</f>
        <v>YES</v>
      </c>
      <c r="E116" s="90">
        <f t="shared" si="1"/>
        <v>100</v>
      </c>
      <c r="F116" s="91">
        <f>'2017 Assembly'!O116</f>
        <v>29.33</v>
      </c>
      <c r="G116" s="91">
        <f>'2022 Assembly'!O116</f>
        <v>24.6</v>
      </c>
      <c r="H116" s="91">
        <f t="shared" si="2"/>
        <v>18.92</v>
      </c>
      <c r="I116" s="91">
        <f>IF(ISBLANK('Assembly Competitiveness'!J116),0,IF(ISNUMBER(SEARCH("retained",'Assembly Competitiveness'!J116)),30,100))</f>
        <v>0</v>
      </c>
      <c r="J116" s="91">
        <f>MIN(100,ABS('Assembly Trajectories'!M116)*10)</f>
        <v>9.7</v>
      </c>
      <c r="K116" s="91">
        <f>'Assembly Competitiveness'!N116</f>
        <v>100</v>
      </c>
      <c r="L116" s="89">
        <f t="shared" si="3"/>
        <v>45.7</v>
      </c>
      <c r="M116" s="90" t="str">
        <f t="shared" si="4"/>
        <v>Medium</v>
      </c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</row>
    <row r="117">
      <c r="A117" s="89">
        <v>114.0</v>
      </c>
      <c r="B117" s="90" t="s">
        <v>554</v>
      </c>
      <c r="C117" s="90" t="s">
        <v>35</v>
      </c>
      <c r="D117" s="90" t="str">
        <f>IF('2017 Assembly'!G117='2022 Assembly'!G117, "NO", "YES")</f>
        <v>YES</v>
      </c>
      <c r="E117" s="90">
        <f t="shared" si="1"/>
        <v>100</v>
      </c>
      <c r="F117" s="91">
        <f>'2017 Assembly'!O117</f>
        <v>2.97</v>
      </c>
      <c r="G117" s="91">
        <f>'2022 Assembly'!O117</f>
        <v>30.06</v>
      </c>
      <c r="H117" s="91">
        <f t="shared" si="2"/>
        <v>100</v>
      </c>
      <c r="I117" s="91">
        <f>IF(ISBLANK('Assembly Competitiveness'!J117),0,IF(ISNUMBER(SEARCH("retained",'Assembly Competitiveness'!J117)),30,100))</f>
        <v>0</v>
      </c>
      <c r="J117" s="91">
        <f>MIN(100,ABS('Assembly Trajectories'!M117)*10)</f>
        <v>62.5</v>
      </c>
      <c r="K117" s="91">
        <f>'Assembly Competitiveness'!N117</f>
        <v>0</v>
      </c>
      <c r="L117" s="89">
        <f t="shared" si="3"/>
        <v>61.25</v>
      </c>
      <c r="M117" s="90" t="str">
        <f t="shared" si="4"/>
        <v>High</v>
      </c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</row>
    <row r="118">
      <c r="A118" s="89">
        <v>115.0</v>
      </c>
      <c r="B118" s="90" t="s">
        <v>555</v>
      </c>
      <c r="C118" s="90" t="s">
        <v>35</v>
      </c>
      <c r="D118" s="90" t="str">
        <f>IF('2017 Assembly'!G118='2022 Assembly'!G118, "NO", "YES")</f>
        <v>YES</v>
      </c>
      <c r="E118" s="90">
        <f t="shared" si="1"/>
        <v>100</v>
      </c>
      <c r="F118" s="91">
        <f>'2017 Assembly'!O118</f>
        <v>49.81</v>
      </c>
      <c r="G118" s="91">
        <f>'2022 Assembly'!O118</f>
        <v>19.35</v>
      </c>
      <c r="H118" s="91">
        <f t="shared" si="2"/>
        <v>100</v>
      </c>
      <c r="I118" s="91">
        <f>IF(ISBLANK('Assembly Competitiveness'!J118),0,IF(ISNUMBER(SEARCH("retained",'Assembly Competitiveness'!J118)),30,100))</f>
        <v>0</v>
      </c>
      <c r="J118" s="91">
        <f>MIN(100,ABS('Assembly Trajectories'!M118)*10)</f>
        <v>22</v>
      </c>
      <c r="K118" s="91">
        <f>'Assembly Competitiveness'!N118</f>
        <v>100</v>
      </c>
      <c r="L118" s="89">
        <f t="shared" si="3"/>
        <v>67.2</v>
      </c>
      <c r="M118" s="90" t="str">
        <f t="shared" si="4"/>
        <v>High</v>
      </c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</row>
    <row r="119">
      <c r="A119" s="89">
        <v>116.0</v>
      </c>
      <c r="B119" s="90" t="s">
        <v>557</v>
      </c>
      <c r="C119" s="90" t="s">
        <v>35</v>
      </c>
      <c r="D119" s="90" t="str">
        <f>IF('2017 Assembly'!G119='2022 Assembly'!G119, "NO", "YES")</f>
        <v>YES</v>
      </c>
      <c r="E119" s="90">
        <f t="shared" si="1"/>
        <v>100</v>
      </c>
      <c r="F119" s="91">
        <f>'2017 Assembly'!O119</f>
        <v>6.65</v>
      </c>
      <c r="G119" s="91">
        <f>'2022 Assembly'!O119</f>
        <v>26.97</v>
      </c>
      <c r="H119" s="91">
        <f t="shared" si="2"/>
        <v>81.28</v>
      </c>
      <c r="I119" s="91">
        <f>IF(ISBLANK('Assembly Competitiveness'!J119),0,IF(ISNUMBER(SEARCH("retained",'Assembly Competitiveness'!J119)),30,100))</f>
        <v>0</v>
      </c>
      <c r="J119" s="91">
        <f>MIN(100,ABS('Assembly Trajectories'!M119)*10)</f>
        <v>61.8</v>
      </c>
      <c r="K119" s="91">
        <f>'Assembly Competitiveness'!N119</f>
        <v>0</v>
      </c>
      <c r="L119" s="89">
        <f t="shared" si="3"/>
        <v>56.5</v>
      </c>
      <c r="M119" s="90" t="str">
        <f t="shared" si="4"/>
        <v>High</v>
      </c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</row>
    <row r="120">
      <c r="A120" s="89">
        <v>117.0</v>
      </c>
      <c r="B120" s="90" t="s">
        <v>559</v>
      </c>
      <c r="C120" s="90" t="s">
        <v>35</v>
      </c>
      <c r="D120" s="90" t="str">
        <f>IF('2017 Assembly'!G120='2022 Assembly'!G120, "NO", "YES")</f>
        <v>YES</v>
      </c>
      <c r="E120" s="90">
        <f t="shared" si="1"/>
        <v>100</v>
      </c>
      <c r="F120" s="91">
        <f>'2017 Assembly'!O120</f>
        <v>13.44</v>
      </c>
      <c r="G120" s="91">
        <f>'2022 Assembly'!O120</f>
        <v>37.85</v>
      </c>
      <c r="H120" s="91">
        <f t="shared" si="2"/>
        <v>97.64</v>
      </c>
      <c r="I120" s="91">
        <f>IF(ISBLANK('Assembly Competitiveness'!J120),0,IF(ISNUMBER(SEARCH("retained",'Assembly Competitiveness'!J120)),30,100))</f>
        <v>0</v>
      </c>
      <c r="J120" s="91">
        <f>MIN(100,ABS('Assembly Trajectories'!M120)*10)</f>
        <v>74.7</v>
      </c>
      <c r="K120" s="91">
        <f>'Assembly Competitiveness'!N120</f>
        <v>0</v>
      </c>
      <c r="L120" s="89">
        <f t="shared" si="3"/>
        <v>61.88</v>
      </c>
      <c r="M120" s="90" t="str">
        <f t="shared" si="4"/>
        <v>High</v>
      </c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</row>
    <row r="121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</row>
    <row r="122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</row>
    <row r="123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</row>
    <row r="124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</row>
    <row r="125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S125" s="102"/>
      <c r="T125" s="102"/>
      <c r="U125" s="102"/>
      <c r="V125" s="102"/>
      <c r="W125" s="102"/>
      <c r="X125" s="102"/>
    </row>
    <row r="126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S126" s="102"/>
      <c r="T126" s="102"/>
      <c r="U126" s="102"/>
      <c r="V126" s="102"/>
      <c r="W126" s="102"/>
      <c r="X126" s="102"/>
    </row>
    <row r="127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S127" s="102"/>
      <c r="T127" s="102"/>
      <c r="U127" s="102"/>
      <c r="V127" s="102"/>
      <c r="W127" s="102"/>
      <c r="X127" s="102"/>
    </row>
    <row r="128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S128" s="102"/>
      <c r="T128" s="102"/>
      <c r="U128" s="102"/>
      <c r="V128" s="102"/>
      <c r="W128" s="102"/>
      <c r="X128" s="102"/>
    </row>
    <row r="129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S129" s="102"/>
      <c r="T129" s="102"/>
      <c r="U129" s="102"/>
      <c r="V129" s="102"/>
      <c r="W129" s="102"/>
      <c r="X129" s="102"/>
    </row>
    <row r="130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S130" s="102"/>
      <c r="T130" s="102"/>
      <c r="U130" s="102"/>
      <c r="V130" s="102"/>
      <c r="W130" s="102"/>
      <c r="X130" s="102"/>
    </row>
    <row r="131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S131" s="102"/>
      <c r="T131" s="102"/>
      <c r="U131" s="102"/>
      <c r="V131" s="102"/>
      <c r="W131" s="102"/>
      <c r="X131" s="102"/>
    </row>
    <row r="132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S132" s="102"/>
      <c r="T132" s="102"/>
      <c r="U132" s="102"/>
      <c r="V132" s="102"/>
      <c r="W132" s="102"/>
      <c r="X132" s="102"/>
    </row>
    <row r="133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S133" s="102"/>
      <c r="T133" s="102"/>
      <c r="U133" s="102"/>
      <c r="V133" s="102"/>
      <c r="W133" s="102"/>
      <c r="X133" s="102"/>
    </row>
    <row r="134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S134" s="102"/>
      <c r="T134" s="102"/>
      <c r="U134" s="102"/>
      <c r="V134" s="102"/>
      <c r="W134" s="102"/>
      <c r="X134" s="102"/>
    </row>
    <row r="135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S135" s="102"/>
      <c r="T135" s="102"/>
      <c r="U135" s="102"/>
      <c r="V135" s="102"/>
      <c r="W135" s="102"/>
      <c r="X135" s="102"/>
    </row>
    <row r="136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S136" s="102"/>
      <c r="T136" s="102"/>
      <c r="U136" s="102"/>
      <c r="V136" s="102"/>
      <c r="W136" s="102"/>
      <c r="X136" s="102"/>
    </row>
    <row r="137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S137" s="102"/>
      <c r="T137" s="102"/>
      <c r="U137" s="102"/>
      <c r="V137" s="102"/>
      <c r="W137" s="102"/>
      <c r="X137" s="102"/>
    </row>
    <row r="138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S138" s="102"/>
      <c r="T138" s="102"/>
      <c r="U138" s="102"/>
      <c r="V138" s="102"/>
      <c r="W138" s="102"/>
      <c r="X138" s="102"/>
    </row>
    <row r="139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S139" s="102"/>
      <c r="T139" s="102"/>
      <c r="U139" s="102"/>
      <c r="V139" s="102"/>
      <c r="W139" s="102"/>
      <c r="X139" s="102"/>
    </row>
    <row r="140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S140" s="102"/>
      <c r="T140" s="102"/>
      <c r="U140" s="102"/>
      <c r="V140" s="102"/>
      <c r="W140" s="102"/>
      <c r="X140" s="102"/>
    </row>
    <row r="141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S141" s="102"/>
      <c r="T141" s="102"/>
      <c r="U141" s="102"/>
      <c r="V141" s="102"/>
      <c r="W141" s="102"/>
      <c r="X141" s="102"/>
    </row>
    <row r="142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S142" s="102"/>
      <c r="T142" s="102"/>
      <c r="U142" s="102"/>
      <c r="V142" s="102"/>
      <c r="W142" s="102"/>
      <c r="X142" s="102"/>
    </row>
    <row r="143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S143" s="102"/>
      <c r="T143" s="102"/>
      <c r="U143" s="102"/>
      <c r="V143" s="102"/>
      <c r="W143" s="102"/>
      <c r="X143" s="102"/>
    </row>
    <row r="144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S144" s="102"/>
      <c r="T144" s="102"/>
      <c r="U144" s="102"/>
      <c r="V144" s="102"/>
      <c r="W144" s="102"/>
      <c r="X144" s="102"/>
    </row>
    <row r="145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</row>
    <row r="146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</row>
    <row r="147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</row>
    <row r="148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</row>
    <row r="149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</row>
    <row r="150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</row>
    <row r="151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</row>
    <row r="152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</row>
    <row r="153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</row>
    <row r="154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</row>
    <row r="155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</row>
    <row r="156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</row>
    <row r="157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</row>
    <row r="158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</row>
    <row r="159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</row>
    <row r="160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</row>
    <row r="161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</row>
    <row r="162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</row>
    <row r="163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</row>
    <row r="164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</row>
    <row r="165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</row>
    <row r="166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</row>
    <row r="167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</row>
    <row r="168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</row>
    <row r="169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</row>
    <row r="170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</row>
    <row r="171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</row>
    <row r="172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</row>
    <row r="173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</row>
    <row r="174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</row>
    <row r="175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</row>
    <row r="176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</row>
    <row r="177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</row>
    <row r="178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</row>
    <row r="179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</row>
    <row r="180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</row>
    <row r="181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</row>
    <row r="182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</row>
    <row r="183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</row>
    <row r="184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</row>
    <row r="185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</row>
    <row r="186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</row>
    <row r="187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</row>
    <row r="188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</row>
    <row r="189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</row>
    <row r="190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</row>
    <row r="191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</row>
    <row r="192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</row>
    <row r="193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</row>
    <row r="194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</row>
    <row r="195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</row>
    <row r="196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</row>
    <row r="197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</row>
    <row r="198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</row>
    <row r="199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</row>
    <row r="200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</row>
    <row r="201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</row>
    <row r="202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</row>
    <row r="203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</row>
    <row r="204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</row>
    <row r="205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</row>
    <row r="206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</row>
    <row r="207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</row>
    <row r="208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</row>
    <row r="209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</row>
    <row r="210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</row>
    <row r="211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</row>
    <row r="212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</row>
    <row r="213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</row>
    <row r="214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</row>
    <row r="215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</row>
    <row r="216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</row>
    <row r="217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</row>
    <row r="218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</row>
    <row r="219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</row>
    <row r="220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</row>
    <row r="221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</row>
    <row r="222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</row>
    <row r="223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</row>
    <row r="224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</row>
    <row r="225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</row>
    <row r="226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</row>
    <row r="227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</row>
    <row r="228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</row>
    <row r="229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</row>
    <row r="230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</row>
    <row r="231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</row>
    <row r="232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</row>
    <row r="233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</row>
    <row r="234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</row>
    <row r="235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</row>
    <row r="236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</row>
    <row r="237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</row>
    <row r="238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</row>
    <row r="239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</row>
    <row r="240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</row>
    <row r="241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</row>
    <row r="242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</row>
    <row r="243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</row>
    <row r="244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</row>
    <row r="245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</row>
    <row r="246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</row>
    <row r="247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</row>
    <row r="248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</row>
    <row r="249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</row>
    <row r="250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</row>
    <row r="251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</row>
    <row r="252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</row>
    <row r="253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</row>
    <row r="254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</row>
    <row r="255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</row>
    <row r="256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</row>
    <row r="257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</row>
    <row r="258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</row>
    <row r="259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</row>
    <row r="260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</row>
    <row r="261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</row>
    <row r="262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</row>
    <row r="263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</row>
    <row r="264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</row>
    <row r="265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</row>
    <row r="266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</row>
    <row r="267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</row>
    <row r="268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</row>
    <row r="269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</row>
    <row r="270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</row>
    <row r="271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</row>
    <row r="272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</row>
    <row r="273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</row>
    <row r="274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</row>
    <row r="275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</row>
    <row r="276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</row>
    <row r="277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</row>
    <row r="278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</row>
    <row r="279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</row>
    <row r="280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</row>
    <row r="281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</row>
    <row r="282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</row>
    <row r="283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</row>
    <row r="284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</row>
    <row r="285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</row>
    <row r="286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</row>
    <row r="287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</row>
    <row r="288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</row>
    <row r="289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</row>
    <row r="290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</row>
    <row r="291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</row>
    <row r="292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</row>
    <row r="293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</row>
    <row r="294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</row>
    <row r="295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</row>
    <row r="296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</row>
    <row r="297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</row>
    <row r="298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</row>
    <row r="299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</row>
    <row r="300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</row>
    <row r="301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</row>
    <row r="302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</row>
    <row r="303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</row>
    <row r="304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</row>
    <row r="305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</row>
    <row r="306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</row>
    <row r="307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</row>
    <row r="308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</row>
    <row r="309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</row>
    <row r="310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</row>
    <row r="311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</row>
    <row r="312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</row>
    <row r="313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</row>
    <row r="314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</row>
    <row r="315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</row>
    <row r="316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</row>
    <row r="317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</row>
    <row r="318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</row>
    <row r="319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</row>
    <row r="320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</row>
    <row r="321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</row>
    <row r="322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</row>
    <row r="323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</row>
    <row r="324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</row>
    <row r="325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</row>
    <row r="326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</row>
    <row r="327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</row>
    <row r="328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</row>
    <row r="329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</row>
    <row r="330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</row>
    <row r="331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</row>
    <row r="332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</row>
    <row r="333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</row>
    <row r="334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</row>
    <row r="335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</row>
    <row r="336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</row>
    <row r="337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</row>
    <row r="338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</row>
    <row r="339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</row>
    <row r="340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</row>
    <row r="341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</row>
    <row r="342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</row>
    <row r="343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</row>
    <row r="344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</row>
    <row r="345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</row>
    <row r="346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</row>
    <row r="347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</row>
    <row r="348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</row>
    <row r="349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</row>
    <row r="350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</row>
    <row r="351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</row>
    <row r="352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</row>
    <row r="353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</row>
    <row r="354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</row>
    <row r="355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</row>
    <row r="356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</row>
    <row r="357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</row>
    <row r="358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</row>
    <row r="359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</row>
    <row r="360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</row>
    <row r="361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</row>
    <row r="362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</row>
    <row r="363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</row>
    <row r="364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</row>
    <row r="365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</row>
    <row r="366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</row>
    <row r="367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</row>
    <row r="368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</row>
    <row r="369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</row>
    <row r="370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</row>
    <row r="371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</row>
    <row r="372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</row>
    <row r="373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</row>
    <row r="374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</row>
    <row r="375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</row>
    <row r="376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</row>
    <row r="377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</row>
    <row r="378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</row>
    <row r="379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</row>
    <row r="380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</row>
    <row r="381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</row>
    <row r="382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</row>
    <row r="383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</row>
    <row r="384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</row>
    <row r="385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</row>
    <row r="386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</row>
    <row r="387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</row>
    <row r="388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</row>
    <row r="389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</row>
    <row r="390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</row>
    <row r="391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</row>
    <row r="392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</row>
    <row r="393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</row>
    <row r="394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</row>
    <row r="395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</row>
    <row r="396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</row>
    <row r="397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</row>
    <row r="398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</row>
    <row r="399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</row>
    <row r="400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</row>
    <row r="401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</row>
    <row r="402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</row>
    <row r="403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</row>
    <row r="404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</row>
    <row r="405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</row>
    <row r="406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</row>
    <row r="407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</row>
    <row r="408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</row>
    <row r="409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</row>
    <row r="410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</row>
    <row r="411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</row>
    <row r="412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</row>
    <row r="413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</row>
    <row r="414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</row>
    <row r="415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</row>
    <row r="416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</row>
    <row r="417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</row>
    <row r="418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</row>
    <row r="419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</row>
    <row r="420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</row>
    <row r="421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</row>
    <row r="422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</row>
    <row r="423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</row>
    <row r="424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</row>
    <row r="425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</row>
    <row r="426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</row>
    <row r="427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</row>
    <row r="428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</row>
    <row r="429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</row>
    <row r="430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</row>
    <row r="431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</row>
    <row r="432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</row>
    <row r="433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</row>
    <row r="434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</row>
    <row r="435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</row>
    <row r="436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</row>
    <row r="437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</row>
    <row r="438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</row>
    <row r="439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</row>
    <row r="440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</row>
    <row r="441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</row>
    <row r="442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</row>
    <row r="443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</row>
    <row r="444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</row>
    <row r="445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</row>
    <row r="446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</row>
    <row r="447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</row>
    <row r="448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</row>
    <row r="449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</row>
    <row r="450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</row>
    <row r="451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</row>
    <row r="452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</row>
    <row r="453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</row>
    <row r="454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</row>
    <row r="455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</row>
    <row r="456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</row>
    <row r="457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</row>
    <row r="458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</row>
    <row r="459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</row>
    <row r="460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</row>
    <row r="461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</row>
    <row r="462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</row>
    <row r="463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</row>
    <row r="464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</row>
    <row r="465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</row>
    <row r="466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</row>
    <row r="467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</row>
    <row r="468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</row>
    <row r="469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</row>
    <row r="470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</row>
    <row r="471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</row>
    <row r="472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</row>
    <row r="473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</row>
    <row r="474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</row>
    <row r="475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</row>
    <row r="476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</row>
    <row r="477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</row>
    <row r="478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</row>
    <row r="479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</row>
    <row r="480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</row>
    <row r="481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</row>
    <row r="482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</row>
    <row r="483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</row>
    <row r="484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</row>
    <row r="485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</row>
    <row r="486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</row>
    <row r="487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</row>
    <row r="488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</row>
    <row r="489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</row>
    <row r="490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</row>
    <row r="491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</row>
    <row r="492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</row>
    <row r="493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</row>
    <row r="494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</row>
    <row r="495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</row>
    <row r="496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</row>
    <row r="497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</row>
    <row r="498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</row>
    <row r="499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</row>
    <row r="500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</row>
    <row r="501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</row>
    <row r="502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</row>
    <row r="503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</row>
    <row r="504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</row>
    <row r="505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</row>
    <row r="506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</row>
    <row r="507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</row>
    <row r="508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</row>
    <row r="509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</row>
    <row r="510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</row>
    <row r="511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</row>
    <row r="512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</row>
    <row r="513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</row>
    <row r="514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</row>
    <row r="515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</row>
    <row r="516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</row>
    <row r="517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</row>
    <row r="518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</row>
    <row r="519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</row>
    <row r="520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</row>
    <row r="521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</row>
    <row r="522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</row>
    <row r="523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</row>
    <row r="524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</row>
    <row r="525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</row>
    <row r="526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</row>
    <row r="527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</row>
    <row r="528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</row>
    <row r="529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</row>
    <row r="530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</row>
    <row r="531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</row>
    <row r="532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</row>
    <row r="533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</row>
    <row r="534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</row>
    <row r="535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</row>
    <row r="536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</row>
    <row r="537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</row>
    <row r="538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</row>
    <row r="539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</row>
    <row r="540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</row>
    <row r="541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</row>
    <row r="542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</row>
    <row r="543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</row>
    <row r="544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</row>
    <row r="545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</row>
    <row r="546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</row>
    <row r="547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</row>
    <row r="548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</row>
    <row r="549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</row>
    <row r="550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</row>
    <row r="551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</row>
    <row r="552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</row>
    <row r="553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</row>
    <row r="554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</row>
    <row r="555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</row>
    <row r="556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</row>
    <row r="557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</row>
    <row r="558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</row>
    <row r="559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</row>
    <row r="560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</row>
    <row r="561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</row>
    <row r="562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</row>
    <row r="563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</row>
    <row r="564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</row>
    <row r="565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</row>
    <row r="566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</row>
    <row r="567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</row>
    <row r="568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</row>
    <row r="569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</row>
    <row r="570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</row>
    <row r="571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</row>
    <row r="572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</row>
    <row r="573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</row>
    <row r="574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</row>
    <row r="575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</row>
    <row r="576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</row>
    <row r="577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</row>
    <row r="578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</row>
    <row r="579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</row>
    <row r="580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</row>
    <row r="581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</row>
    <row r="582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</row>
    <row r="583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</row>
    <row r="584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</row>
    <row r="585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</row>
    <row r="586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</row>
    <row r="587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</row>
    <row r="588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</row>
    <row r="589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</row>
    <row r="590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</row>
    <row r="591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</row>
    <row r="592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</row>
    <row r="593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</row>
    <row r="594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</row>
    <row r="595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</row>
    <row r="596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</row>
    <row r="597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</row>
    <row r="598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</row>
    <row r="599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</row>
    <row r="600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</row>
    <row r="601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</row>
    <row r="602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</row>
    <row r="603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</row>
    <row r="604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</row>
    <row r="605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</row>
    <row r="606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</row>
    <row r="607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</row>
    <row r="608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</row>
    <row r="609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</row>
    <row r="610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</row>
    <row r="611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</row>
    <row r="612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</row>
    <row r="613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</row>
    <row r="614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</row>
    <row r="615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</row>
    <row r="616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</row>
    <row r="617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</row>
    <row r="618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</row>
    <row r="619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</row>
    <row r="620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</row>
    <row r="621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</row>
    <row r="622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</row>
    <row r="623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</row>
    <row r="624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</row>
    <row r="625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</row>
    <row r="626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</row>
    <row r="627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</row>
    <row r="628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</row>
    <row r="629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</row>
    <row r="630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</row>
    <row r="631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</row>
    <row r="632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</row>
    <row r="633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</row>
    <row r="634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</row>
    <row r="635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</row>
    <row r="636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</row>
    <row r="637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</row>
    <row r="638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</row>
    <row r="639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</row>
    <row r="640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</row>
    <row r="641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</row>
    <row r="642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</row>
    <row r="643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</row>
    <row r="644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</row>
    <row r="645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</row>
    <row r="646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</row>
    <row r="647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</row>
    <row r="648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</row>
    <row r="649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</row>
    <row r="650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</row>
    <row r="651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</row>
    <row r="652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</row>
    <row r="653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</row>
    <row r="654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</row>
    <row r="655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</row>
    <row r="656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</row>
    <row r="657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</row>
    <row r="658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</row>
    <row r="659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</row>
    <row r="660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</row>
    <row r="661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</row>
    <row r="662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</row>
    <row r="663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</row>
    <row r="664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</row>
    <row r="665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</row>
    <row r="666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</row>
    <row r="667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</row>
    <row r="668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</row>
    <row r="669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</row>
    <row r="670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</row>
    <row r="671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</row>
    <row r="672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</row>
    <row r="673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</row>
    <row r="674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</row>
    <row r="675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</row>
    <row r="676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</row>
    <row r="677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</row>
    <row r="678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</row>
    <row r="679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</row>
    <row r="680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</row>
    <row r="681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</row>
    <row r="682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</row>
    <row r="683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</row>
    <row r="684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</row>
    <row r="685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</row>
    <row r="686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</row>
    <row r="687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</row>
    <row r="688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</row>
    <row r="689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</row>
    <row r="690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</row>
    <row r="691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</row>
    <row r="692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</row>
    <row r="693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</row>
    <row r="694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</row>
    <row r="695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</row>
    <row r="696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</row>
    <row r="697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</row>
    <row r="698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</row>
    <row r="699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</row>
    <row r="700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</row>
    <row r="701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</row>
    <row r="702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</row>
    <row r="703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</row>
    <row r="704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</row>
    <row r="705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</row>
    <row r="706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</row>
    <row r="707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</row>
    <row r="708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</row>
    <row r="709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</row>
    <row r="710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</row>
    <row r="711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</row>
    <row r="712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</row>
    <row r="713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</row>
    <row r="714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</row>
    <row r="715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</row>
    <row r="716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</row>
    <row r="717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</row>
    <row r="718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</row>
    <row r="719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</row>
    <row r="720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</row>
    <row r="721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</row>
    <row r="722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</row>
    <row r="723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</row>
    <row r="724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</row>
    <row r="725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</row>
    <row r="726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</row>
    <row r="727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</row>
    <row r="728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</row>
    <row r="729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</row>
    <row r="730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</row>
    <row r="731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</row>
    <row r="732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</row>
    <row r="733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</row>
    <row r="734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</row>
    <row r="735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</row>
    <row r="736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</row>
    <row r="737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</row>
    <row r="738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</row>
    <row r="739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</row>
    <row r="740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</row>
    <row r="741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</row>
    <row r="742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</row>
    <row r="743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</row>
    <row r="744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</row>
    <row r="745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</row>
    <row r="746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</row>
    <row r="747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</row>
    <row r="748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</row>
    <row r="749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</row>
    <row r="750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</row>
    <row r="751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</row>
    <row r="752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</row>
    <row r="753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</row>
    <row r="754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</row>
    <row r="755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</row>
    <row r="756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</row>
    <row r="757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</row>
    <row r="758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</row>
    <row r="759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</row>
    <row r="760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</row>
    <row r="761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</row>
    <row r="762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</row>
    <row r="763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</row>
    <row r="764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</row>
    <row r="765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</row>
    <row r="766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</row>
    <row r="767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</row>
    <row r="768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</row>
    <row r="769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</row>
    <row r="770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</row>
    <row r="771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</row>
    <row r="772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</row>
    <row r="773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</row>
    <row r="774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</row>
    <row r="775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</row>
    <row r="776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</row>
    <row r="777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</row>
    <row r="778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</row>
    <row r="779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</row>
    <row r="780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</row>
    <row r="781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</row>
    <row r="782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</row>
    <row r="783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</row>
    <row r="784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</row>
    <row r="785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</row>
    <row r="786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</row>
    <row r="787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</row>
    <row r="788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</row>
    <row r="789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</row>
    <row r="790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</row>
    <row r="791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</row>
    <row r="792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</row>
    <row r="793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</row>
    <row r="794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</row>
    <row r="795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</row>
    <row r="796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</row>
    <row r="797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</row>
    <row r="798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</row>
    <row r="799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</row>
    <row r="800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</row>
    <row r="801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</row>
    <row r="802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</row>
    <row r="803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</row>
    <row r="804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</row>
    <row r="805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</row>
    <row r="806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</row>
    <row r="807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</row>
    <row r="808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</row>
    <row r="809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</row>
    <row r="810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</row>
    <row r="811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</row>
    <row r="812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</row>
    <row r="813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</row>
    <row r="814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</row>
    <row r="815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</row>
    <row r="816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</row>
    <row r="817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</row>
    <row r="818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</row>
    <row r="819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</row>
    <row r="820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</row>
    <row r="821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</row>
    <row r="822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</row>
    <row r="823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</row>
    <row r="824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</row>
    <row r="825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</row>
    <row r="826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</row>
    <row r="827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</row>
    <row r="828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</row>
    <row r="829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</row>
    <row r="830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</row>
    <row r="831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</row>
    <row r="832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</row>
    <row r="833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</row>
    <row r="834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</row>
    <row r="835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</row>
    <row r="836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</row>
    <row r="837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</row>
    <row r="838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</row>
    <row r="839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</row>
    <row r="840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</row>
    <row r="841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</row>
    <row r="842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</row>
    <row r="843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</row>
    <row r="844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</row>
    <row r="845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</row>
    <row r="846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</row>
    <row r="847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</row>
    <row r="848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</row>
    <row r="849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</row>
    <row r="850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</row>
    <row r="851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</row>
    <row r="852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</row>
    <row r="853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</row>
    <row r="854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</row>
    <row r="855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</row>
    <row r="856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</row>
    <row r="857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</row>
    <row r="858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</row>
    <row r="859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</row>
    <row r="860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</row>
    <row r="861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</row>
    <row r="862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</row>
    <row r="863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</row>
    <row r="864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</row>
    <row r="865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</row>
    <row r="866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</row>
    <row r="867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</row>
    <row r="868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</row>
    <row r="869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</row>
    <row r="870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</row>
    <row r="871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</row>
    <row r="872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</row>
    <row r="873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</row>
    <row r="874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</row>
    <row r="875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</row>
    <row r="876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</row>
    <row r="877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</row>
    <row r="878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</row>
    <row r="879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</row>
    <row r="880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</row>
    <row r="881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</row>
    <row r="882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</row>
    <row r="883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</row>
    <row r="884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</row>
    <row r="885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</row>
    <row r="886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</row>
    <row r="887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</row>
    <row r="888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</row>
    <row r="889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</row>
    <row r="890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</row>
    <row r="891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</row>
    <row r="892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</row>
    <row r="893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</row>
    <row r="894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</row>
    <row r="895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</row>
    <row r="896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</row>
    <row r="897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</row>
    <row r="898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</row>
    <row r="899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</row>
    <row r="900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</row>
    <row r="901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</row>
    <row r="902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</row>
    <row r="903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</row>
    <row r="904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</row>
    <row r="905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</row>
    <row r="906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</row>
    <row r="907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</row>
    <row r="908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</row>
    <row r="909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</row>
    <row r="910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</row>
    <row r="911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</row>
    <row r="912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</row>
    <row r="913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</row>
    <row r="914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</row>
    <row r="915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</row>
    <row r="916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</row>
    <row r="917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</row>
    <row r="918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</row>
    <row r="919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</row>
    <row r="920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</row>
    <row r="921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</row>
    <row r="922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</row>
    <row r="923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</row>
    <row r="924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</row>
    <row r="925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</row>
    <row r="926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</row>
    <row r="927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</row>
    <row r="928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</row>
    <row r="929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</row>
    <row r="930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</row>
    <row r="931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</row>
    <row r="932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</row>
    <row r="933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</row>
    <row r="934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</row>
    <row r="935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</row>
    <row r="936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</row>
    <row r="937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</row>
    <row r="938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</row>
    <row r="939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</row>
    <row r="940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</row>
    <row r="941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</row>
    <row r="942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</row>
    <row r="943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</row>
    <row r="944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</row>
    <row r="945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</row>
    <row r="946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</row>
    <row r="947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</row>
    <row r="948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</row>
    <row r="949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</row>
    <row r="950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</row>
    <row r="951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</row>
    <row r="952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</row>
    <row r="953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</row>
    <row r="954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</row>
    <row r="955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</row>
    <row r="956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</row>
    <row r="957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</row>
    <row r="958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</row>
    <row r="959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</row>
    <row r="960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</row>
    <row r="961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</row>
    <row r="962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</row>
    <row r="963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</row>
    <row r="964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</row>
    <row r="965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</row>
    <row r="966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</row>
    <row r="967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</row>
    <row r="968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</row>
    <row r="969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</row>
    <row r="970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</row>
    <row r="971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</row>
    <row r="972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</row>
    <row r="973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</row>
    <row r="974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</row>
    <row r="975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</row>
    <row r="976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</row>
    <row r="977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</row>
    <row r="978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</row>
    <row r="979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</row>
    <row r="980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</row>
    <row r="981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</row>
    <row r="982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</row>
    <row r="983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</row>
    <row r="984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</row>
    <row r="985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</row>
    <row r="986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</row>
    <row r="987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</row>
    <row r="988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</row>
    <row r="989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</row>
    <row r="990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</row>
    <row r="991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</row>
    <row r="992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</row>
    <row r="993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</row>
    <row r="994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</row>
    <row r="995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</row>
    <row r="996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</row>
    <row r="997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</row>
    <row r="998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</row>
    <row r="999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</row>
    <row r="1000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</row>
  </sheetData>
  <mergeCells count="4">
    <mergeCell ref="A1:M1"/>
    <mergeCell ref="A2:M2"/>
    <mergeCell ref="O2:Q2"/>
    <mergeCell ref="R2:T2"/>
  </mergeCells>
  <conditionalFormatting sqref="L4:L120">
    <cfRule type="colorScale" priority="1">
      <colorScale>
        <cfvo type="min"/>
        <cfvo type="max"/>
        <color rgb="FFFFFFFF"/>
        <color rgb="FF57BB8A"/>
      </colorScale>
    </cfRule>
  </conditionalFormatting>
  <conditionalFormatting sqref="S4:S23">
    <cfRule type="colorScale" priority="2">
      <colorScale>
        <cfvo type="min"/>
        <cfvo type="max"/>
        <color rgb="FFFFFFFF"/>
        <color rgb="FFFFD666"/>
      </colorScale>
    </cfRule>
  </conditionalFormatting>
  <conditionalFormatting sqref="P4:P23">
    <cfRule type="colorScale" priority="3">
      <colorScale>
        <cfvo type="min"/>
        <cfvo type="max"/>
        <color rgb="FFFFFFFF"/>
        <color rgb="FFFFD666"/>
      </colorScale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24.38"/>
    <col customWidth="1" min="3" max="3" width="29.13"/>
    <col customWidth="1" min="4" max="4" width="28.0"/>
    <col customWidth="1" min="5" max="5" width="24.38"/>
    <col customWidth="1" min="6" max="6" width="26.38"/>
    <col customWidth="1" min="7" max="7" width="28.25"/>
    <col customWidth="1" min="8" max="8" width="24.0"/>
  </cols>
  <sheetData>
    <row r="1">
      <c r="A1" s="2" t="s">
        <v>584</v>
      </c>
      <c r="B1" s="4"/>
      <c r="C1" s="4"/>
      <c r="D1" s="4"/>
    </row>
    <row r="2">
      <c r="A2" s="108" t="s">
        <v>586</v>
      </c>
    </row>
    <row r="3">
      <c r="A3" s="109"/>
      <c r="B3" s="109" t="s">
        <v>587</v>
      </c>
      <c r="C3" s="109" t="s">
        <v>588</v>
      </c>
      <c r="D3" s="109" t="s">
        <v>35</v>
      </c>
      <c r="E3" s="109" t="s">
        <v>61</v>
      </c>
      <c r="F3" s="109" t="s">
        <v>127</v>
      </c>
      <c r="G3" s="109" t="s">
        <v>589</v>
      </c>
      <c r="H3" s="109" t="s">
        <v>590</v>
      </c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>
      <c r="A4" s="110" t="s">
        <v>591</v>
      </c>
      <c r="B4" s="110" t="s">
        <v>592</v>
      </c>
      <c r="C4" s="110" t="s">
        <v>593</v>
      </c>
      <c r="D4" s="110" t="s">
        <v>594</v>
      </c>
      <c r="E4" s="110" t="s">
        <v>595</v>
      </c>
      <c r="F4" s="110" t="s">
        <v>596</v>
      </c>
      <c r="G4" s="110" t="s">
        <v>597</v>
      </c>
      <c r="H4" s="110" t="s">
        <v>598</v>
      </c>
      <c r="I4" s="110"/>
      <c r="J4" s="110"/>
    </row>
    <row r="5">
      <c r="A5" s="110" t="s">
        <v>599</v>
      </c>
      <c r="B5" s="110" t="s">
        <v>600</v>
      </c>
      <c r="C5" s="110" t="s">
        <v>601</v>
      </c>
      <c r="D5" s="110" t="s">
        <v>602</v>
      </c>
      <c r="E5" s="110" t="s">
        <v>603</v>
      </c>
      <c r="F5" s="110" t="s">
        <v>604</v>
      </c>
      <c r="G5" s="110" t="s">
        <v>605</v>
      </c>
      <c r="H5" s="110" t="s">
        <v>606</v>
      </c>
      <c r="I5" s="110"/>
      <c r="J5" s="110"/>
    </row>
    <row r="6">
      <c r="A6" s="110" t="s">
        <v>607</v>
      </c>
      <c r="B6" s="110" t="s">
        <v>608</v>
      </c>
      <c r="C6" s="110" t="s">
        <v>609</v>
      </c>
      <c r="D6" s="111" t="s">
        <v>610</v>
      </c>
      <c r="E6" s="111" t="s">
        <v>611</v>
      </c>
      <c r="F6" s="111" t="s">
        <v>612</v>
      </c>
      <c r="G6" s="110" t="s">
        <v>613</v>
      </c>
      <c r="H6" s="110" t="s">
        <v>614</v>
      </c>
      <c r="I6" s="110"/>
      <c r="J6" s="110"/>
    </row>
    <row r="7">
      <c r="A7" s="110" t="s">
        <v>615</v>
      </c>
      <c r="B7" s="110" t="s">
        <v>616</v>
      </c>
      <c r="C7" s="110" t="s">
        <v>617</v>
      </c>
      <c r="D7" s="110" t="s">
        <v>618</v>
      </c>
      <c r="E7" s="110" t="s">
        <v>619</v>
      </c>
      <c r="F7" s="110" t="s">
        <v>620</v>
      </c>
      <c r="G7" s="110" t="s">
        <v>621</v>
      </c>
      <c r="H7" s="110" t="s">
        <v>622</v>
      </c>
      <c r="I7" s="110"/>
      <c r="J7" s="110"/>
    </row>
    <row r="8">
      <c r="A8" s="110" t="s">
        <v>624</v>
      </c>
      <c r="B8" s="110" t="s">
        <v>625</v>
      </c>
      <c r="C8" s="110" t="s">
        <v>626</v>
      </c>
      <c r="D8" s="110" t="s">
        <v>627</v>
      </c>
      <c r="E8" s="110" t="s">
        <v>628</v>
      </c>
      <c r="F8" s="110" t="s">
        <v>629</v>
      </c>
      <c r="G8" s="110" t="s">
        <v>630</v>
      </c>
      <c r="H8" s="110" t="s">
        <v>631</v>
      </c>
      <c r="I8" s="110"/>
      <c r="J8" s="110"/>
    </row>
    <row r="9">
      <c r="A9" s="110" t="s">
        <v>632</v>
      </c>
      <c r="B9" s="110" t="s">
        <v>633</v>
      </c>
      <c r="C9" s="110" t="s">
        <v>634</v>
      </c>
      <c r="D9" s="110" t="s">
        <v>635</v>
      </c>
      <c r="E9" s="110" t="s">
        <v>636</v>
      </c>
      <c r="F9" s="110" t="s">
        <v>637</v>
      </c>
      <c r="G9" s="110" t="s">
        <v>638</v>
      </c>
      <c r="H9" s="110" t="s">
        <v>634</v>
      </c>
      <c r="I9" s="110"/>
      <c r="J9" s="110"/>
    </row>
    <row r="10">
      <c r="A10" s="110" t="s">
        <v>639</v>
      </c>
      <c r="B10" s="110" t="s">
        <v>640</v>
      </c>
      <c r="C10" s="110" t="s">
        <v>641</v>
      </c>
      <c r="D10" s="110" t="s">
        <v>642</v>
      </c>
      <c r="E10" s="110" t="s">
        <v>643</v>
      </c>
      <c r="F10" s="110" t="s">
        <v>644</v>
      </c>
      <c r="G10" s="110" t="s">
        <v>645</v>
      </c>
      <c r="H10" s="110" t="s">
        <v>646</v>
      </c>
      <c r="I10" s="110"/>
      <c r="J10" s="110"/>
    </row>
    <row r="11">
      <c r="A11" s="110" t="s">
        <v>647</v>
      </c>
      <c r="B11" s="110" t="s">
        <v>648</v>
      </c>
      <c r="C11" s="110" t="s">
        <v>649</v>
      </c>
      <c r="D11" s="110" t="s">
        <v>650</v>
      </c>
      <c r="E11" s="110" t="s">
        <v>650</v>
      </c>
      <c r="F11" s="110" t="s">
        <v>651</v>
      </c>
      <c r="G11" s="110" t="s">
        <v>652</v>
      </c>
      <c r="H11" s="110" t="s">
        <v>653</v>
      </c>
      <c r="I11" s="110"/>
      <c r="J11" s="110"/>
    </row>
    <row r="12">
      <c r="A12" s="110" t="s">
        <v>23</v>
      </c>
      <c r="B12" s="110" t="s">
        <v>654</v>
      </c>
      <c r="C12" s="110" t="s">
        <v>654</v>
      </c>
      <c r="D12" s="110" t="s">
        <v>654</v>
      </c>
      <c r="E12" s="110" t="s">
        <v>654</v>
      </c>
      <c r="F12" s="110" t="s">
        <v>654</v>
      </c>
      <c r="G12" s="110" t="s">
        <v>43</v>
      </c>
      <c r="H12" s="110" t="s">
        <v>43</v>
      </c>
      <c r="I12" s="110"/>
      <c r="J12" s="110"/>
    </row>
    <row r="13">
      <c r="A13" s="112" t="s">
        <v>655</v>
      </c>
      <c r="B13" s="113" t="s">
        <v>656</v>
      </c>
      <c r="C13" s="113" t="s">
        <v>656</v>
      </c>
      <c r="D13" s="113" t="s">
        <v>657</v>
      </c>
      <c r="E13" s="113" t="s">
        <v>657</v>
      </c>
      <c r="F13" s="113" t="s">
        <v>657</v>
      </c>
      <c r="G13" s="113" t="s">
        <v>659</v>
      </c>
      <c r="H13" s="113" t="s">
        <v>660</v>
      </c>
      <c r="I13" s="110"/>
      <c r="J13" s="110"/>
    </row>
    <row r="14">
      <c r="A14" s="112" t="s">
        <v>662</v>
      </c>
      <c r="B14" s="113" t="s">
        <v>663</v>
      </c>
      <c r="C14" s="113" t="s">
        <v>664</v>
      </c>
      <c r="D14" s="113" t="s">
        <v>665</v>
      </c>
      <c r="E14" s="113" t="s">
        <v>666</v>
      </c>
      <c r="F14" s="113" t="s">
        <v>668</v>
      </c>
      <c r="G14" s="113" t="s">
        <v>666</v>
      </c>
      <c r="H14" s="113" t="s">
        <v>669</v>
      </c>
      <c r="I14" s="110"/>
      <c r="J14" s="110"/>
    </row>
    <row r="15">
      <c r="A15" s="48" t="s">
        <v>671</v>
      </c>
      <c r="B15" s="111" t="s">
        <v>672</v>
      </c>
      <c r="C15" s="110" t="s">
        <v>673</v>
      </c>
      <c r="D15" s="110" t="s">
        <v>674</v>
      </c>
      <c r="E15" s="110" t="s">
        <v>675</v>
      </c>
      <c r="F15" s="110" t="s">
        <v>676</v>
      </c>
      <c r="G15" s="111" t="s">
        <v>677</v>
      </c>
      <c r="H15" s="110" t="s">
        <v>678</v>
      </c>
      <c r="I15" s="110"/>
      <c r="J15" s="110"/>
    </row>
  </sheetData>
  <hyperlinks>
    <hyperlink r:id="rId1" ref="B13"/>
    <hyperlink r:id="rId2" ref="C13"/>
    <hyperlink r:id="rId3" ref="D13"/>
    <hyperlink r:id="rId4" ref="E13"/>
    <hyperlink r:id="rId5" ref="F13"/>
    <hyperlink r:id="rId6" ref="G13"/>
    <hyperlink r:id="rId7" ref="H13"/>
    <hyperlink r:id="rId8" ref="B14"/>
    <hyperlink r:id="rId9" ref="C14"/>
    <hyperlink r:id="rId10" ref="D14"/>
    <hyperlink r:id="rId11" ref="E14"/>
    <hyperlink r:id="rId12" ref="F14"/>
    <hyperlink r:id="rId13" ref="G14"/>
    <hyperlink r:id="rId14" ref="H14"/>
  </hyperlinks>
  <drawing r:id="rId1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36.25"/>
    <col customWidth="1" min="3" max="3" width="39.5"/>
    <col customWidth="1" min="4" max="4" width="32.13"/>
    <col customWidth="1" min="5" max="5" width="26.38"/>
    <col customWidth="1" min="6" max="6" width="29.75"/>
  </cols>
  <sheetData>
    <row r="1">
      <c r="A1" s="2" t="s">
        <v>684</v>
      </c>
      <c r="B1" s="4"/>
      <c r="C1" s="4"/>
      <c r="D1" s="4"/>
      <c r="E1" s="4"/>
      <c r="F1" s="4"/>
    </row>
    <row r="2">
      <c r="A2" s="114" t="s">
        <v>90</v>
      </c>
      <c r="B2" s="114" t="s">
        <v>32</v>
      </c>
      <c r="C2" s="114" t="s">
        <v>45</v>
      </c>
      <c r="D2" s="114" t="s">
        <v>51</v>
      </c>
      <c r="E2" s="114" t="s">
        <v>53</v>
      </c>
      <c r="F2" s="114" t="s">
        <v>74</v>
      </c>
      <c r="G2" s="110"/>
      <c r="H2" s="110"/>
      <c r="I2" s="110"/>
      <c r="J2" s="110"/>
      <c r="K2" s="21"/>
      <c r="L2" s="21"/>
      <c r="M2" s="21"/>
    </row>
    <row r="3">
      <c r="A3" s="110" t="s">
        <v>686</v>
      </c>
      <c r="B3" s="110" t="s">
        <v>687</v>
      </c>
      <c r="C3" s="110" t="s">
        <v>688</v>
      </c>
      <c r="D3" s="110" t="s">
        <v>689</v>
      </c>
      <c r="E3" s="110" t="s">
        <v>690</v>
      </c>
      <c r="F3" s="110" t="s">
        <v>691</v>
      </c>
      <c r="G3" s="110"/>
      <c r="H3" s="110"/>
      <c r="I3" s="110"/>
      <c r="J3" s="110"/>
      <c r="K3" s="19"/>
      <c r="L3" s="19"/>
      <c r="M3" s="19"/>
    </row>
    <row r="4">
      <c r="A4" s="110" t="s">
        <v>692</v>
      </c>
      <c r="B4" s="110" t="s">
        <v>693</v>
      </c>
      <c r="C4" s="110" t="s">
        <v>694</v>
      </c>
      <c r="D4" s="110" t="s">
        <v>695</v>
      </c>
      <c r="E4" s="110" t="s">
        <v>696</v>
      </c>
      <c r="F4" s="110" t="s">
        <v>697</v>
      </c>
      <c r="G4" s="110"/>
      <c r="H4" s="110"/>
      <c r="I4" s="110"/>
      <c r="J4" s="110"/>
      <c r="K4" s="19"/>
      <c r="L4" s="19"/>
      <c r="M4" s="19"/>
    </row>
    <row r="5">
      <c r="A5" s="110" t="s">
        <v>698</v>
      </c>
      <c r="B5" s="111" t="s">
        <v>699</v>
      </c>
      <c r="C5" s="111" t="s">
        <v>700</v>
      </c>
      <c r="D5" s="111" t="s">
        <v>701</v>
      </c>
      <c r="E5" s="110" t="s">
        <v>702</v>
      </c>
      <c r="F5" s="110" t="s">
        <v>703</v>
      </c>
      <c r="G5" s="110"/>
      <c r="H5" s="110"/>
      <c r="I5" s="110"/>
      <c r="J5" s="110"/>
      <c r="K5" s="19"/>
      <c r="L5" s="19"/>
      <c r="M5" s="19"/>
    </row>
    <row r="6">
      <c r="A6" s="110" t="s">
        <v>704</v>
      </c>
      <c r="B6" s="110" t="s">
        <v>705</v>
      </c>
      <c r="C6" s="110" t="s">
        <v>706</v>
      </c>
      <c r="D6" s="110" t="s">
        <v>707</v>
      </c>
      <c r="E6" s="110" t="s">
        <v>708</v>
      </c>
      <c r="F6" s="110" t="s">
        <v>709</v>
      </c>
      <c r="G6" s="110"/>
      <c r="H6" s="110"/>
      <c r="I6" s="110"/>
      <c r="J6" s="110"/>
      <c r="K6" s="19"/>
      <c r="L6" s="19"/>
      <c r="M6" s="19"/>
    </row>
    <row r="7">
      <c r="A7" s="110" t="s">
        <v>710</v>
      </c>
      <c r="B7" s="110" t="s">
        <v>711</v>
      </c>
      <c r="C7" s="110" t="s">
        <v>712</v>
      </c>
      <c r="D7" s="110" t="s">
        <v>713</v>
      </c>
      <c r="E7" s="110" t="s">
        <v>714</v>
      </c>
      <c r="F7" s="110" t="s">
        <v>715</v>
      </c>
      <c r="G7" s="110"/>
      <c r="H7" s="110"/>
      <c r="I7" s="110"/>
      <c r="J7" s="110"/>
      <c r="K7" s="19"/>
      <c r="L7" s="19"/>
      <c r="M7" s="19"/>
    </row>
    <row r="8">
      <c r="A8" s="110" t="s">
        <v>716</v>
      </c>
      <c r="B8" s="110" t="s">
        <v>717</v>
      </c>
      <c r="C8" s="110" t="s">
        <v>718</v>
      </c>
      <c r="D8" s="110" t="s">
        <v>719</v>
      </c>
      <c r="E8" s="110" t="s">
        <v>720</v>
      </c>
      <c r="F8" s="110" t="s">
        <v>721</v>
      </c>
      <c r="G8" s="110"/>
      <c r="H8" s="110"/>
      <c r="I8" s="110"/>
      <c r="J8" s="110"/>
      <c r="K8" s="7"/>
      <c r="L8" s="7"/>
      <c r="M8" s="7"/>
    </row>
    <row r="9">
      <c r="A9" s="110" t="s">
        <v>722</v>
      </c>
      <c r="B9" s="110" t="s">
        <v>723</v>
      </c>
      <c r="C9" s="110" t="s">
        <v>724</v>
      </c>
      <c r="D9" s="110" t="s">
        <v>725</v>
      </c>
      <c r="E9" s="110" t="s">
        <v>726</v>
      </c>
      <c r="F9" s="110" t="s">
        <v>727</v>
      </c>
      <c r="G9" s="110"/>
      <c r="H9" s="110"/>
      <c r="I9" s="110"/>
      <c r="J9" s="110"/>
      <c r="K9" s="7"/>
      <c r="L9" s="7"/>
      <c r="M9" s="7"/>
    </row>
    <row r="10">
      <c r="A10" s="110" t="s">
        <v>728</v>
      </c>
      <c r="B10" s="110" t="s">
        <v>729</v>
      </c>
      <c r="C10" s="110" t="s">
        <v>730</v>
      </c>
      <c r="D10" s="110" t="s">
        <v>731</v>
      </c>
      <c r="E10" s="110" t="s">
        <v>732</v>
      </c>
      <c r="F10" s="110" t="s">
        <v>733</v>
      </c>
      <c r="G10" s="110"/>
      <c r="H10" s="110"/>
      <c r="I10" s="110"/>
      <c r="J10" s="110"/>
      <c r="K10" s="7"/>
      <c r="L10" s="7"/>
      <c r="M10" s="7"/>
    </row>
    <row r="11">
      <c r="A11" s="110" t="s">
        <v>734</v>
      </c>
      <c r="B11" s="110" t="s">
        <v>735</v>
      </c>
      <c r="C11" s="110" t="s">
        <v>736</v>
      </c>
      <c r="D11" s="110" t="s">
        <v>737</v>
      </c>
      <c r="E11" s="110" t="s">
        <v>738</v>
      </c>
      <c r="F11" s="110" t="s">
        <v>739</v>
      </c>
      <c r="G11" s="110"/>
      <c r="H11" s="110"/>
      <c r="I11" s="110"/>
      <c r="J11" s="110"/>
    </row>
    <row r="12">
      <c r="A12" s="110" t="s">
        <v>740</v>
      </c>
      <c r="B12" s="110" t="s">
        <v>741</v>
      </c>
      <c r="C12" s="110" t="s">
        <v>742</v>
      </c>
      <c r="D12" s="110" t="s">
        <v>743</v>
      </c>
      <c r="E12" s="110" t="s">
        <v>744</v>
      </c>
      <c r="F12" s="110" t="s">
        <v>745</v>
      </c>
      <c r="G12" s="110"/>
      <c r="H12" s="110"/>
      <c r="I12" s="110"/>
      <c r="J12" s="110"/>
    </row>
    <row r="13">
      <c r="A13" s="110" t="s">
        <v>647</v>
      </c>
      <c r="B13" s="110" t="s">
        <v>746</v>
      </c>
      <c r="C13" s="110" t="s">
        <v>747</v>
      </c>
      <c r="D13" s="110" t="s">
        <v>748</v>
      </c>
      <c r="E13" s="110" t="s">
        <v>749</v>
      </c>
      <c r="F13" s="110" t="s">
        <v>750</v>
      </c>
      <c r="G13" s="110"/>
      <c r="H13" s="110"/>
      <c r="I13" s="110"/>
      <c r="J13" s="110"/>
    </row>
    <row r="14">
      <c r="A14" s="111" t="s">
        <v>751</v>
      </c>
      <c r="B14" s="113" t="s">
        <v>752</v>
      </c>
      <c r="C14" s="113" t="s">
        <v>754</v>
      </c>
      <c r="D14" s="113" t="s">
        <v>755</v>
      </c>
      <c r="E14" s="113" t="s">
        <v>664</v>
      </c>
      <c r="F14" s="113" t="s">
        <v>757</v>
      </c>
      <c r="G14" s="110"/>
      <c r="H14" s="110"/>
      <c r="I14" s="110"/>
      <c r="J14" s="110"/>
    </row>
  </sheetData>
  <hyperlinks>
    <hyperlink r:id="rId1" ref="B14"/>
    <hyperlink r:id="rId2" ref="C14"/>
    <hyperlink r:id="rId3" ref="D14"/>
    <hyperlink r:id="rId4" ref="E14"/>
    <hyperlink r:id="rId5" ref="F14"/>
  </hyperlinks>
  <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8.88"/>
    <col customWidth="1" min="13" max="13" width="30.0"/>
    <col customWidth="1" min="14" max="14" width="18.88"/>
  </cols>
  <sheetData>
    <row r="1">
      <c r="A1" s="2" t="s">
        <v>761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>
      <c r="A2" s="9" t="s">
        <v>762</v>
      </c>
      <c r="B2" s="9" t="s">
        <v>763</v>
      </c>
      <c r="C2" s="9" t="s">
        <v>764</v>
      </c>
      <c r="D2" s="9" t="s">
        <v>765</v>
      </c>
      <c r="E2" s="9" t="s">
        <v>766</v>
      </c>
      <c r="F2" s="9" t="s">
        <v>767</v>
      </c>
      <c r="G2" s="9" t="s">
        <v>768</v>
      </c>
      <c r="H2" s="9" t="s">
        <v>769</v>
      </c>
      <c r="I2" s="9" t="s">
        <v>770</v>
      </c>
      <c r="J2" s="9" t="s">
        <v>771</v>
      </c>
      <c r="K2" s="9" t="s">
        <v>647</v>
      </c>
      <c r="L2" s="9" t="s">
        <v>23</v>
      </c>
      <c r="M2" s="9" t="s">
        <v>751</v>
      </c>
      <c r="N2" s="9" t="s">
        <v>772</v>
      </c>
    </row>
    <row r="3">
      <c r="A3" s="19" t="s">
        <v>773</v>
      </c>
      <c r="B3" s="19" t="s">
        <v>774</v>
      </c>
      <c r="C3" s="19" t="s">
        <v>775</v>
      </c>
      <c r="D3" s="19" t="s">
        <v>776</v>
      </c>
      <c r="E3" s="19" t="s">
        <v>777</v>
      </c>
      <c r="F3" s="19" t="s">
        <v>778</v>
      </c>
      <c r="G3" s="19" t="s">
        <v>779</v>
      </c>
      <c r="H3" s="19" t="s">
        <v>780</v>
      </c>
      <c r="I3" s="19" t="s">
        <v>781</v>
      </c>
      <c r="J3" s="19" t="s">
        <v>782</v>
      </c>
      <c r="K3" s="19" t="s">
        <v>783</v>
      </c>
      <c r="L3" s="19" t="s">
        <v>654</v>
      </c>
      <c r="M3" s="115" t="s">
        <v>784</v>
      </c>
      <c r="N3" s="19" t="s">
        <v>787</v>
      </c>
    </row>
    <row r="4">
      <c r="A4" s="19" t="s">
        <v>788</v>
      </c>
      <c r="B4" s="19" t="s">
        <v>789</v>
      </c>
      <c r="C4" s="19" t="s">
        <v>775</v>
      </c>
      <c r="D4" s="19" t="s">
        <v>790</v>
      </c>
      <c r="E4" s="19" t="s">
        <v>791</v>
      </c>
      <c r="F4" s="19" t="s">
        <v>792</v>
      </c>
      <c r="G4" s="19" t="s">
        <v>793</v>
      </c>
      <c r="H4" s="19" t="s">
        <v>794</v>
      </c>
      <c r="I4" s="19" t="s">
        <v>796</v>
      </c>
      <c r="J4" s="19" t="s">
        <v>797</v>
      </c>
      <c r="K4" s="19" t="s">
        <v>799</v>
      </c>
      <c r="L4" s="19" t="s">
        <v>654</v>
      </c>
      <c r="M4" s="115" t="s">
        <v>784</v>
      </c>
      <c r="N4" s="19" t="s">
        <v>805</v>
      </c>
    </row>
    <row r="5">
      <c r="A5" s="19" t="s">
        <v>808</v>
      </c>
      <c r="B5" s="19" t="s">
        <v>811</v>
      </c>
      <c r="C5" s="19" t="s">
        <v>654</v>
      </c>
      <c r="D5" s="19" t="s">
        <v>812</v>
      </c>
      <c r="E5" s="19" t="s">
        <v>813</v>
      </c>
      <c r="F5" s="19" t="s">
        <v>814</v>
      </c>
      <c r="G5" s="19" t="s">
        <v>815</v>
      </c>
      <c r="H5" s="19" t="s">
        <v>817</v>
      </c>
      <c r="I5" s="19" t="s">
        <v>67</v>
      </c>
      <c r="J5" s="19" t="s">
        <v>818</v>
      </c>
      <c r="K5" s="19" t="s">
        <v>819</v>
      </c>
      <c r="L5" s="19" t="s">
        <v>43</v>
      </c>
      <c r="M5" s="115" t="s">
        <v>668</v>
      </c>
      <c r="N5" s="19" t="s">
        <v>823</v>
      </c>
    </row>
    <row r="6">
      <c r="A6" s="19" t="s">
        <v>825</v>
      </c>
      <c r="B6" s="19" t="s">
        <v>826</v>
      </c>
      <c r="C6" s="19" t="s">
        <v>654</v>
      </c>
      <c r="D6" s="19" t="s">
        <v>827</v>
      </c>
      <c r="E6" s="19" t="s">
        <v>828</v>
      </c>
      <c r="F6" s="19" t="s">
        <v>829</v>
      </c>
      <c r="G6" s="19" t="s">
        <v>831</v>
      </c>
      <c r="H6" s="19" t="s">
        <v>832</v>
      </c>
      <c r="I6" s="19" t="s">
        <v>43</v>
      </c>
      <c r="J6" s="19" t="s">
        <v>833</v>
      </c>
      <c r="K6" s="19" t="s">
        <v>834</v>
      </c>
      <c r="L6" s="19" t="s">
        <v>67</v>
      </c>
      <c r="M6" s="115" t="s">
        <v>836</v>
      </c>
      <c r="N6" s="19" t="s">
        <v>857</v>
      </c>
    </row>
    <row r="7">
      <c r="A7" s="19" t="s">
        <v>858</v>
      </c>
      <c r="B7" s="19" t="s">
        <v>859</v>
      </c>
      <c r="C7" s="19" t="s">
        <v>861</v>
      </c>
      <c r="D7" s="19" t="s">
        <v>863</v>
      </c>
      <c r="E7" s="19" t="s">
        <v>864</v>
      </c>
      <c r="F7" s="19" t="s">
        <v>866</v>
      </c>
      <c r="G7" s="19" t="s">
        <v>867</v>
      </c>
      <c r="H7" s="19" t="s">
        <v>634</v>
      </c>
      <c r="I7" s="19" t="s">
        <v>870</v>
      </c>
      <c r="J7" s="19" t="s">
        <v>871</v>
      </c>
      <c r="K7" s="19" t="s">
        <v>872</v>
      </c>
      <c r="L7" s="19" t="s">
        <v>654</v>
      </c>
      <c r="M7" s="115" t="s">
        <v>873</v>
      </c>
      <c r="N7" s="19" t="s">
        <v>881</v>
      </c>
    </row>
    <row r="8">
      <c r="A8" s="19" t="s">
        <v>883</v>
      </c>
      <c r="B8" s="19" t="s">
        <v>885</v>
      </c>
      <c r="C8" s="19" t="s">
        <v>886</v>
      </c>
      <c r="D8" s="19" t="s">
        <v>887</v>
      </c>
      <c r="E8" s="19" t="s">
        <v>889</v>
      </c>
      <c r="F8" s="19" t="s">
        <v>890</v>
      </c>
      <c r="G8" s="19" t="s">
        <v>891</v>
      </c>
      <c r="H8" s="19" t="s">
        <v>634</v>
      </c>
      <c r="I8" s="19" t="s">
        <v>43</v>
      </c>
      <c r="J8" s="19" t="s">
        <v>892</v>
      </c>
      <c r="K8" s="19" t="s">
        <v>783</v>
      </c>
      <c r="L8" s="19" t="s">
        <v>67</v>
      </c>
      <c r="M8" s="115" t="s">
        <v>784</v>
      </c>
      <c r="N8" s="19" t="s">
        <v>894</v>
      </c>
    </row>
    <row r="9">
      <c r="A9" s="19" t="s">
        <v>895</v>
      </c>
      <c r="B9" s="19" t="s">
        <v>896</v>
      </c>
      <c r="C9" s="19" t="s">
        <v>897</v>
      </c>
      <c r="D9" s="19" t="s">
        <v>899</v>
      </c>
      <c r="E9" s="19" t="s">
        <v>901</v>
      </c>
      <c r="F9" s="19" t="s">
        <v>902</v>
      </c>
      <c r="G9" s="19" t="s">
        <v>904</v>
      </c>
      <c r="H9" s="19" t="s">
        <v>905</v>
      </c>
      <c r="I9" s="19" t="s">
        <v>775</v>
      </c>
      <c r="J9" s="19" t="s">
        <v>907</v>
      </c>
      <c r="K9" s="19" t="s">
        <v>908</v>
      </c>
      <c r="L9" s="19" t="s">
        <v>654</v>
      </c>
      <c r="M9" s="115" t="s">
        <v>784</v>
      </c>
      <c r="N9" s="19" t="s">
        <v>909</v>
      </c>
    </row>
    <row r="10">
      <c r="A10" s="19" t="s">
        <v>910</v>
      </c>
      <c r="B10" s="19" t="s">
        <v>912</v>
      </c>
      <c r="C10" s="19" t="s">
        <v>654</v>
      </c>
      <c r="D10" s="19" t="s">
        <v>913</v>
      </c>
      <c r="E10" s="19" t="s">
        <v>914</v>
      </c>
      <c r="F10" s="19" t="s">
        <v>915</v>
      </c>
      <c r="G10" s="19" t="s">
        <v>916</v>
      </c>
      <c r="H10" s="19" t="s">
        <v>917</v>
      </c>
      <c r="I10" s="19" t="s">
        <v>43</v>
      </c>
      <c r="J10" s="19" t="s">
        <v>918</v>
      </c>
      <c r="K10" s="19" t="s">
        <v>919</v>
      </c>
      <c r="L10" s="19" t="s">
        <v>67</v>
      </c>
      <c r="M10" s="115" t="s">
        <v>663</v>
      </c>
      <c r="N10" s="19" t="s">
        <v>935</v>
      </c>
    </row>
    <row r="11">
      <c r="A11" s="19" t="s">
        <v>936</v>
      </c>
      <c r="B11" s="19" t="s">
        <v>938</v>
      </c>
      <c r="C11" s="19" t="s">
        <v>775</v>
      </c>
      <c r="D11" s="19" t="s">
        <v>939</v>
      </c>
      <c r="E11" s="19" t="s">
        <v>940</v>
      </c>
      <c r="F11" s="19" t="s">
        <v>941</v>
      </c>
      <c r="G11" s="19" t="s">
        <v>942</v>
      </c>
      <c r="H11" s="19" t="s">
        <v>943</v>
      </c>
      <c r="I11" s="19" t="s">
        <v>654</v>
      </c>
      <c r="J11" s="19" t="s">
        <v>944</v>
      </c>
      <c r="K11" s="19" t="s">
        <v>946</v>
      </c>
      <c r="L11" s="19" t="s">
        <v>654</v>
      </c>
      <c r="M11" s="115" t="s">
        <v>947</v>
      </c>
      <c r="N11" s="19" t="s">
        <v>961</v>
      </c>
    </row>
    <row r="12">
      <c r="A12" s="19" t="s">
        <v>963</v>
      </c>
      <c r="B12" s="19" t="s">
        <v>964</v>
      </c>
      <c r="C12" s="19" t="s">
        <v>654</v>
      </c>
      <c r="D12" s="19" t="s">
        <v>965</v>
      </c>
      <c r="E12" s="19" t="s">
        <v>966</v>
      </c>
      <c r="F12" s="19" t="s">
        <v>967</v>
      </c>
      <c r="G12" s="19" t="s">
        <v>968</v>
      </c>
      <c r="H12" s="19" t="s">
        <v>969</v>
      </c>
      <c r="I12" s="19" t="s">
        <v>43</v>
      </c>
      <c r="J12" s="19" t="s">
        <v>970</v>
      </c>
      <c r="K12" s="19" t="s">
        <v>971</v>
      </c>
      <c r="L12" s="19" t="s">
        <v>67</v>
      </c>
      <c r="M12" s="115" t="s">
        <v>973</v>
      </c>
      <c r="N12" s="19" t="s">
        <v>983</v>
      </c>
    </row>
    <row r="13">
      <c r="A13" s="19" t="s">
        <v>984</v>
      </c>
      <c r="B13" s="19" t="s">
        <v>985</v>
      </c>
      <c r="C13" s="19" t="s">
        <v>775</v>
      </c>
      <c r="D13" s="19" t="s">
        <v>986</v>
      </c>
      <c r="E13" s="19" t="s">
        <v>987</v>
      </c>
      <c r="F13" s="19" t="s">
        <v>989</v>
      </c>
      <c r="G13" s="19" t="s">
        <v>990</v>
      </c>
      <c r="H13" s="19" t="s">
        <v>991</v>
      </c>
      <c r="I13" s="19" t="s">
        <v>775</v>
      </c>
      <c r="J13" s="19" t="s">
        <v>992</v>
      </c>
      <c r="K13" s="19" t="s">
        <v>993</v>
      </c>
      <c r="L13" s="19" t="s">
        <v>654</v>
      </c>
      <c r="M13" s="115" t="s">
        <v>994</v>
      </c>
      <c r="N13" s="19" t="s">
        <v>1009</v>
      </c>
    </row>
    <row r="14">
      <c r="A14" s="19" t="s">
        <v>1010</v>
      </c>
      <c r="B14" s="19" t="s">
        <v>1011</v>
      </c>
      <c r="C14" s="19" t="s">
        <v>654</v>
      </c>
      <c r="D14" s="19" t="s">
        <v>1013</v>
      </c>
      <c r="E14" s="19" t="s">
        <v>1015</v>
      </c>
      <c r="F14" s="19" t="s">
        <v>1016</v>
      </c>
      <c r="G14" s="19" t="s">
        <v>1018</v>
      </c>
      <c r="H14" s="19" t="s">
        <v>1019</v>
      </c>
      <c r="I14" s="19" t="s">
        <v>775</v>
      </c>
      <c r="J14" s="19" t="s">
        <v>1021</v>
      </c>
      <c r="K14" s="19" t="s">
        <v>1022</v>
      </c>
      <c r="L14" s="19" t="s">
        <v>869</v>
      </c>
      <c r="M14" s="115" t="s">
        <v>1023</v>
      </c>
      <c r="N14" s="19" t="s">
        <v>1035</v>
      </c>
    </row>
    <row r="15">
      <c r="A15" s="19" t="s">
        <v>1036</v>
      </c>
      <c r="B15" s="19" t="s">
        <v>862</v>
      </c>
      <c r="C15" s="19" t="s">
        <v>775</v>
      </c>
      <c r="D15" s="19" t="s">
        <v>1037</v>
      </c>
      <c r="E15" s="19" t="s">
        <v>1038</v>
      </c>
      <c r="F15" s="19" t="s">
        <v>1039</v>
      </c>
      <c r="G15" s="19" t="s">
        <v>1041</v>
      </c>
      <c r="H15" s="19" t="s">
        <v>1042</v>
      </c>
      <c r="I15" s="19" t="s">
        <v>43</v>
      </c>
      <c r="J15" s="19" t="s">
        <v>1043</v>
      </c>
      <c r="K15" s="19" t="s">
        <v>1044</v>
      </c>
      <c r="L15" s="19" t="s">
        <v>67</v>
      </c>
      <c r="M15" s="115" t="s">
        <v>1047</v>
      </c>
      <c r="N15" s="19" t="s">
        <v>1058</v>
      </c>
    </row>
    <row r="16">
      <c r="A16" s="19" t="s">
        <v>1060</v>
      </c>
      <c r="B16" s="19" t="s">
        <v>1062</v>
      </c>
      <c r="C16" s="19" t="s">
        <v>654</v>
      </c>
      <c r="D16" s="19" t="s">
        <v>1064</v>
      </c>
      <c r="E16" s="19" t="s">
        <v>1065</v>
      </c>
      <c r="F16" s="19" t="s">
        <v>1067</v>
      </c>
      <c r="G16" s="19" t="s">
        <v>1069</v>
      </c>
      <c r="H16" s="19" t="s">
        <v>1070</v>
      </c>
      <c r="I16" s="19" t="s">
        <v>1071</v>
      </c>
      <c r="J16" s="19" t="s">
        <v>1072</v>
      </c>
      <c r="K16" s="19" t="s">
        <v>1073</v>
      </c>
      <c r="L16" s="19" t="s">
        <v>654</v>
      </c>
      <c r="M16" s="115" t="s">
        <v>1074</v>
      </c>
      <c r="N16" s="19" t="s">
        <v>1087</v>
      </c>
    </row>
    <row r="17">
      <c r="A17" s="19" t="s">
        <v>1088</v>
      </c>
      <c r="B17" s="19" t="s">
        <v>1089</v>
      </c>
      <c r="C17" s="19" t="s">
        <v>1090</v>
      </c>
      <c r="D17" s="19" t="s">
        <v>1091</v>
      </c>
      <c r="E17" s="19" t="s">
        <v>1092</v>
      </c>
      <c r="F17" s="19" t="s">
        <v>1093</v>
      </c>
      <c r="G17" s="19" t="s">
        <v>1094</v>
      </c>
      <c r="H17" s="19" t="s">
        <v>634</v>
      </c>
      <c r="I17" s="19" t="s">
        <v>654</v>
      </c>
      <c r="J17" s="19" t="s">
        <v>1095</v>
      </c>
      <c r="K17" s="19" t="s">
        <v>1096</v>
      </c>
      <c r="L17" s="19" t="s">
        <v>43</v>
      </c>
      <c r="M17" s="115" t="s">
        <v>664</v>
      </c>
      <c r="N17" s="19" t="s">
        <v>1097</v>
      </c>
    </row>
    <row r="18">
      <c r="A18" s="19" t="s">
        <v>1098</v>
      </c>
      <c r="B18" s="19" t="s">
        <v>1099</v>
      </c>
      <c r="C18" s="19" t="s">
        <v>654</v>
      </c>
      <c r="D18" s="19" t="s">
        <v>1100</v>
      </c>
      <c r="E18" s="19" t="s">
        <v>1101</v>
      </c>
      <c r="F18" s="19" t="s">
        <v>1102</v>
      </c>
      <c r="G18" s="19" t="s">
        <v>1103</v>
      </c>
      <c r="H18" s="19" t="s">
        <v>634</v>
      </c>
      <c r="I18" s="19" t="s">
        <v>43</v>
      </c>
      <c r="J18" s="19" t="s">
        <v>1104</v>
      </c>
      <c r="K18" s="19" t="s">
        <v>1073</v>
      </c>
      <c r="L18" s="19" t="s">
        <v>654</v>
      </c>
      <c r="M18" s="115" t="s">
        <v>660</v>
      </c>
      <c r="N18" s="19" t="s">
        <v>1105</v>
      </c>
    </row>
    <row r="19">
      <c r="A19" s="19" t="s">
        <v>1106</v>
      </c>
      <c r="B19" s="19" t="s">
        <v>1107</v>
      </c>
      <c r="C19" s="19" t="s">
        <v>43</v>
      </c>
      <c r="D19" s="19" t="s">
        <v>1108</v>
      </c>
      <c r="E19" s="19" t="s">
        <v>1109</v>
      </c>
      <c r="F19" s="19" t="s">
        <v>1110</v>
      </c>
      <c r="G19" s="19" t="s">
        <v>1111</v>
      </c>
      <c r="H19" s="19" t="s">
        <v>1112</v>
      </c>
      <c r="I19" s="19" t="s">
        <v>67</v>
      </c>
      <c r="J19" s="19" t="s">
        <v>1113</v>
      </c>
      <c r="K19" s="19" t="s">
        <v>1114</v>
      </c>
      <c r="L19" s="19" t="s">
        <v>869</v>
      </c>
      <c r="M19" s="115" t="s">
        <v>669</v>
      </c>
      <c r="N19" s="19" t="s">
        <v>1116</v>
      </c>
    </row>
    <row r="20">
      <c r="A20" s="19" t="s">
        <v>1117</v>
      </c>
      <c r="B20" s="19" t="s">
        <v>1118</v>
      </c>
      <c r="C20" s="19" t="s">
        <v>775</v>
      </c>
      <c r="D20" s="19" t="s">
        <v>1119</v>
      </c>
      <c r="E20" s="19" t="s">
        <v>1120</v>
      </c>
      <c r="F20" s="19" t="s">
        <v>1121</v>
      </c>
      <c r="G20" s="19" t="s">
        <v>1122</v>
      </c>
      <c r="H20" s="19" t="s">
        <v>1123</v>
      </c>
      <c r="I20" s="19" t="s">
        <v>654</v>
      </c>
      <c r="J20" s="19" t="s">
        <v>1124</v>
      </c>
      <c r="K20" s="19" t="s">
        <v>1125</v>
      </c>
      <c r="L20" s="19" t="s">
        <v>654</v>
      </c>
      <c r="M20" s="115" t="s">
        <v>1126</v>
      </c>
      <c r="N20" s="19" t="s">
        <v>1127</v>
      </c>
    </row>
    <row r="21">
      <c r="A21" s="19" t="s">
        <v>1128</v>
      </c>
      <c r="B21" s="19" t="s">
        <v>1129</v>
      </c>
      <c r="C21" s="19" t="s">
        <v>1130</v>
      </c>
      <c r="D21" s="19" t="s">
        <v>1131</v>
      </c>
      <c r="E21" s="19" t="s">
        <v>1132</v>
      </c>
      <c r="F21" s="19" t="s">
        <v>1133</v>
      </c>
      <c r="G21" s="19" t="s">
        <v>1134</v>
      </c>
      <c r="H21" s="19" t="s">
        <v>1135</v>
      </c>
      <c r="I21" s="19" t="s">
        <v>1136</v>
      </c>
      <c r="J21" s="19" t="s">
        <v>1137</v>
      </c>
      <c r="K21" s="19" t="s">
        <v>1138</v>
      </c>
      <c r="L21" s="19" t="s">
        <v>67</v>
      </c>
      <c r="M21" s="115" t="s">
        <v>1126</v>
      </c>
      <c r="N21" s="19" t="s">
        <v>1139</v>
      </c>
    </row>
    <row r="22">
      <c r="A22" s="19" t="s">
        <v>1140</v>
      </c>
      <c r="B22" s="19" t="s">
        <v>1141</v>
      </c>
      <c r="C22" s="19" t="s">
        <v>1142</v>
      </c>
      <c r="D22" s="19" t="s">
        <v>1143</v>
      </c>
      <c r="E22" s="19" t="s">
        <v>1144</v>
      </c>
      <c r="F22" s="19" t="s">
        <v>1145</v>
      </c>
      <c r="G22" s="19" t="s">
        <v>1146</v>
      </c>
      <c r="H22" s="19" t="s">
        <v>1147</v>
      </c>
      <c r="I22" s="19" t="s">
        <v>775</v>
      </c>
      <c r="J22" s="19" t="s">
        <v>1148</v>
      </c>
      <c r="K22" s="19" t="s">
        <v>650</v>
      </c>
      <c r="L22" s="19" t="s">
        <v>654</v>
      </c>
      <c r="M22" s="115" t="s">
        <v>1149</v>
      </c>
      <c r="N22" s="19" t="s">
        <v>1151</v>
      </c>
    </row>
    <row r="23">
      <c r="A23" s="19" t="s">
        <v>1152</v>
      </c>
      <c r="B23" s="19" t="s">
        <v>1153</v>
      </c>
      <c r="C23" s="19" t="s">
        <v>1154</v>
      </c>
      <c r="D23" s="19" t="s">
        <v>1155</v>
      </c>
      <c r="E23" s="19" t="s">
        <v>1156</v>
      </c>
      <c r="F23" s="19" t="s">
        <v>1157</v>
      </c>
      <c r="G23" s="19" t="s">
        <v>1158</v>
      </c>
      <c r="H23" s="19" t="s">
        <v>1159</v>
      </c>
      <c r="I23" s="19" t="s">
        <v>1160</v>
      </c>
      <c r="J23" s="19" t="s">
        <v>1161</v>
      </c>
      <c r="K23" s="19" t="s">
        <v>1162</v>
      </c>
      <c r="L23" s="19" t="s">
        <v>654</v>
      </c>
      <c r="M23" s="115" t="s">
        <v>752</v>
      </c>
      <c r="N23" s="19" t="s">
        <v>1163</v>
      </c>
    </row>
  </sheetData>
  <hyperlinks>
    <hyperlink r:id="rId1" ref="M3"/>
    <hyperlink r:id="rId2" ref="M4"/>
    <hyperlink r:id="rId3" ref="M5"/>
    <hyperlink r:id="rId4" ref="M6"/>
    <hyperlink r:id="rId5" ref="M7"/>
    <hyperlink r:id="rId6" ref="M8"/>
    <hyperlink r:id="rId7" ref="M9"/>
    <hyperlink r:id="rId8" ref="M10"/>
    <hyperlink r:id="rId9" ref="M11"/>
    <hyperlink r:id="rId10" ref="M12"/>
    <hyperlink r:id="rId11" ref="M13"/>
    <hyperlink r:id="rId12" ref="M14"/>
    <hyperlink r:id="rId13" ref="M15"/>
    <hyperlink r:id="rId14" ref="M16"/>
    <hyperlink r:id="rId15" ref="M17"/>
    <hyperlink r:id="rId16" ref="M18"/>
    <hyperlink r:id="rId17" ref="M19"/>
    <hyperlink r:id="rId18" ref="M20"/>
    <hyperlink r:id="rId19" ref="M21"/>
    <hyperlink r:id="rId20" ref="M22"/>
    <hyperlink r:id="rId21" ref="M23"/>
  </hyperlinks>
  <drawing r:id="rId2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5" max="5" width="29.38"/>
    <col customWidth="1" min="6" max="6" width="31.88"/>
    <col customWidth="1" min="7" max="7" width="40.38"/>
    <col customWidth="1" min="10" max="10" width="35.13"/>
  </cols>
  <sheetData>
    <row r="1">
      <c r="A1" s="2" t="s">
        <v>785</v>
      </c>
      <c r="B1" s="4"/>
      <c r="C1" s="4"/>
      <c r="D1" s="4"/>
      <c r="E1" s="4"/>
      <c r="F1" s="4"/>
      <c r="G1" s="4"/>
      <c r="H1" s="4"/>
      <c r="I1" s="4"/>
      <c r="J1" s="4"/>
      <c r="K1" s="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>
      <c r="A2" s="116" t="s">
        <v>786</v>
      </c>
      <c r="B2" s="7"/>
      <c r="C2" s="7"/>
      <c r="D2" s="7"/>
      <c r="E2" s="7"/>
      <c r="F2" s="7"/>
      <c r="G2" s="7"/>
      <c r="H2" s="7"/>
      <c r="I2" s="7"/>
      <c r="J2" s="7"/>
      <c r="K2" s="7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>
      <c r="A3" s="9" t="s">
        <v>798</v>
      </c>
      <c r="B3" s="9" t="s">
        <v>800</v>
      </c>
      <c r="C3" s="9" t="s">
        <v>801</v>
      </c>
      <c r="D3" s="9" t="s">
        <v>802</v>
      </c>
      <c r="E3" s="9" t="s">
        <v>803</v>
      </c>
      <c r="F3" s="9" t="s">
        <v>804</v>
      </c>
      <c r="G3" s="9" t="s">
        <v>806</v>
      </c>
      <c r="H3" s="9" t="s">
        <v>807</v>
      </c>
      <c r="I3" s="9" t="s">
        <v>809</v>
      </c>
      <c r="J3" s="9" t="s">
        <v>810</v>
      </c>
      <c r="K3" s="9" t="s">
        <v>23</v>
      </c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>
      <c r="A4" s="19" t="s">
        <v>816</v>
      </c>
      <c r="B4" s="17">
        <v>5.0</v>
      </c>
      <c r="C4" s="17">
        <v>5.0</v>
      </c>
      <c r="D4" s="117">
        <f t="shared" ref="D4:D32" si="1">ROUND(0.55*B4+0.45*C4,2)</f>
        <v>5</v>
      </c>
      <c r="E4" s="19" t="s">
        <v>820</v>
      </c>
      <c r="F4" s="19" t="s">
        <v>821</v>
      </c>
      <c r="G4" s="19" t="s">
        <v>822</v>
      </c>
      <c r="H4" s="19" t="s">
        <v>775</v>
      </c>
      <c r="I4" s="19" t="s">
        <v>775</v>
      </c>
      <c r="J4" s="19" t="s">
        <v>824</v>
      </c>
      <c r="K4" s="19" t="s">
        <v>654</v>
      </c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</row>
    <row r="5">
      <c r="A5" s="19" t="s">
        <v>830</v>
      </c>
      <c r="B5" s="17">
        <v>5.0</v>
      </c>
      <c r="C5" s="17">
        <v>5.0</v>
      </c>
      <c r="D5" s="117">
        <f t="shared" si="1"/>
        <v>5</v>
      </c>
      <c r="E5" s="19" t="s">
        <v>835</v>
      </c>
      <c r="F5" s="19" t="s">
        <v>837</v>
      </c>
      <c r="G5" s="19" t="s">
        <v>838</v>
      </c>
      <c r="H5" s="19" t="s">
        <v>775</v>
      </c>
      <c r="I5" s="19" t="s">
        <v>654</v>
      </c>
      <c r="J5" s="19" t="s">
        <v>839</v>
      </c>
      <c r="K5" s="19" t="s">
        <v>654</v>
      </c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>
      <c r="A6" s="19" t="s">
        <v>840</v>
      </c>
      <c r="B6" s="17">
        <v>5.0</v>
      </c>
      <c r="C6" s="17">
        <v>5.0</v>
      </c>
      <c r="D6" s="117">
        <f t="shared" si="1"/>
        <v>5</v>
      </c>
      <c r="E6" s="19" t="s">
        <v>841</v>
      </c>
      <c r="F6" s="19" t="s">
        <v>842</v>
      </c>
      <c r="G6" s="19" t="s">
        <v>843</v>
      </c>
      <c r="H6" s="19" t="s">
        <v>775</v>
      </c>
      <c r="I6" s="19" t="s">
        <v>775</v>
      </c>
      <c r="J6" s="19" t="s">
        <v>844</v>
      </c>
      <c r="K6" s="19" t="s">
        <v>654</v>
      </c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>
      <c r="A7" s="19" t="s">
        <v>846</v>
      </c>
      <c r="B7" s="17">
        <v>4.0</v>
      </c>
      <c r="C7" s="17">
        <v>5.0</v>
      </c>
      <c r="D7" s="118">
        <f t="shared" si="1"/>
        <v>4.45</v>
      </c>
      <c r="E7" s="19" t="s">
        <v>847</v>
      </c>
      <c r="F7" s="19" t="s">
        <v>848</v>
      </c>
      <c r="G7" s="19" t="s">
        <v>849</v>
      </c>
      <c r="H7" s="19" t="s">
        <v>654</v>
      </c>
      <c r="I7" s="19" t="s">
        <v>654</v>
      </c>
      <c r="J7" s="19" t="s">
        <v>850</v>
      </c>
      <c r="K7" s="19" t="s">
        <v>43</v>
      </c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>
      <c r="A8" s="19" t="s">
        <v>851</v>
      </c>
      <c r="B8" s="17">
        <v>4.0</v>
      </c>
      <c r="C8" s="17">
        <v>4.0</v>
      </c>
      <c r="D8" s="119">
        <f t="shared" si="1"/>
        <v>4</v>
      </c>
      <c r="E8" s="19" t="s">
        <v>852</v>
      </c>
      <c r="F8" s="19" t="s">
        <v>853</v>
      </c>
      <c r="G8" s="19" t="s">
        <v>854</v>
      </c>
      <c r="H8" s="19" t="s">
        <v>654</v>
      </c>
      <c r="I8" s="19" t="s">
        <v>654</v>
      </c>
      <c r="J8" s="19" t="s">
        <v>855</v>
      </c>
      <c r="K8" s="19" t="s">
        <v>43</v>
      </c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>
      <c r="A9" s="19" t="s">
        <v>856</v>
      </c>
      <c r="B9" s="17">
        <v>4.0</v>
      </c>
      <c r="C9" s="17">
        <v>4.0</v>
      </c>
      <c r="D9" s="119">
        <f t="shared" si="1"/>
        <v>4</v>
      </c>
      <c r="E9" s="19" t="s">
        <v>860</v>
      </c>
      <c r="F9" s="19" t="s">
        <v>862</v>
      </c>
      <c r="G9" s="19" t="s">
        <v>865</v>
      </c>
      <c r="H9" s="19" t="s">
        <v>654</v>
      </c>
      <c r="I9" s="19" t="s">
        <v>654</v>
      </c>
      <c r="J9" s="19" t="s">
        <v>868</v>
      </c>
      <c r="K9" s="19" t="s">
        <v>869</v>
      </c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>
      <c r="A10" s="19" t="s">
        <v>874</v>
      </c>
      <c r="B10" s="17">
        <v>5.0</v>
      </c>
      <c r="C10" s="17">
        <v>5.0</v>
      </c>
      <c r="D10" s="117">
        <f t="shared" si="1"/>
        <v>5</v>
      </c>
      <c r="E10" s="19" t="s">
        <v>875</v>
      </c>
      <c r="F10" s="19" t="s">
        <v>876</v>
      </c>
      <c r="G10" s="19" t="s">
        <v>877</v>
      </c>
      <c r="H10" s="19" t="s">
        <v>654</v>
      </c>
      <c r="I10" s="19" t="s">
        <v>654</v>
      </c>
      <c r="J10" s="19" t="s">
        <v>878</v>
      </c>
      <c r="K10" s="19" t="s">
        <v>654</v>
      </c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>
      <c r="A11" s="19" t="s">
        <v>879</v>
      </c>
      <c r="B11" s="17">
        <v>5.0</v>
      </c>
      <c r="C11" s="17">
        <v>5.0</v>
      </c>
      <c r="D11" s="117">
        <f t="shared" si="1"/>
        <v>5</v>
      </c>
      <c r="E11" s="19" t="s">
        <v>880</v>
      </c>
      <c r="F11" s="19" t="s">
        <v>882</v>
      </c>
      <c r="G11" s="19" t="s">
        <v>884</v>
      </c>
      <c r="H11" s="19" t="s">
        <v>654</v>
      </c>
      <c r="I11" s="19" t="s">
        <v>654</v>
      </c>
      <c r="J11" s="19" t="s">
        <v>888</v>
      </c>
      <c r="K11" s="19" t="s">
        <v>654</v>
      </c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>
      <c r="A12" s="19" t="s">
        <v>893</v>
      </c>
      <c r="B12" s="17">
        <v>4.0</v>
      </c>
      <c r="C12" s="17">
        <v>5.0</v>
      </c>
      <c r="D12" s="118">
        <f t="shared" si="1"/>
        <v>4.45</v>
      </c>
      <c r="E12" s="19" t="s">
        <v>898</v>
      </c>
      <c r="F12" s="19" t="s">
        <v>900</v>
      </c>
      <c r="G12" s="19" t="s">
        <v>903</v>
      </c>
      <c r="H12" s="19" t="s">
        <v>654</v>
      </c>
      <c r="I12" s="19" t="s">
        <v>654</v>
      </c>
      <c r="J12" s="19" t="s">
        <v>906</v>
      </c>
      <c r="K12" s="19" t="s">
        <v>43</v>
      </c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>
      <c r="A13" s="19" t="s">
        <v>911</v>
      </c>
      <c r="B13" s="17">
        <v>5.0</v>
      </c>
      <c r="C13" s="17">
        <v>4.0</v>
      </c>
      <c r="D13" s="120">
        <f t="shared" si="1"/>
        <v>4.55</v>
      </c>
      <c r="E13" s="19" t="s">
        <v>920</v>
      </c>
      <c r="F13" s="19" t="s">
        <v>921</v>
      </c>
      <c r="G13" s="19" t="s">
        <v>922</v>
      </c>
      <c r="H13" s="19" t="s">
        <v>654</v>
      </c>
      <c r="I13" s="19" t="s">
        <v>654</v>
      </c>
      <c r="J13" s="19" t="s">
        <v>923</v>
      </c>
      <c r="K13" s="19" t="s">
        <v>654</v>
      </c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>
      <c r="A14" s="19" t="s">
        <v>925</v>
      </c>
      <c r="B14" s="17">
        <v>5.0</v>
      </c>
      <c r="C14" s="17">
        <v>4.0</v>
      </c>
      <c r="D14" s="120">
        <f t="shared" si="1"/>
        <v>4.55</v>
      </c>
      <c r="E14" s="19" t="s">
        <v>926</v>
      </c>
      <c r="F14" s="19" t="s">
        <v>927</v>
      </c>
      <c r="G14" s="19" t="s">
        <v>928</v>
      </c>
      <c r="H14" s="19" t="s">
        <v>929</v>
      </c>
      <c r="I14" s="19" t="s">
        <v>930</v>
      </c>
      <c r="J14" s="19" t="s">
        <v>931</v>
      </c>
      <c r="K14" s="19" t="s">
        <v>775</v>
      </c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>
      <c r="A15" s="19" t="s">
        <v>932</v>
      </c>
      <c r="B15" s="17">
        <v>4.0</v>
      </c>
      <c r="C15" s="17">
        <v>5.0</v>
      </c>
      <c r="D15" s="118">
        <f t="shared" si="1"/>
        <v>4.45</v>
      </c>
      <c r="E15" s="19" t="s">
        <v>933</v>
      </c>
      <c r="F15" s="19" t="s">
        <v>862</v>
      </c>
      <c r="G15" s="19" t="s">
        <v>934</v>
      </c>
      <c r="H15" s="19" t="s">
        <v>67</v>
      </c>
      <c r="I15" s="19" t="s">
        <v>869</v>
      </c>
      <c r="J15" s="19" t="s">
        <v>937</v>
      </c>
      <c r="K15" s="19" t="s">
        <v>654</v>
      </c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>
      <c r="A16" s="19" t="s">
        <v>945</v>
      </c>
      <c r="B16" s="17">
        <v>4.0</v>
      </c>
      <c r="C16" s="17">
        <v>4.0</v>
      </c>
      <c r="D16" s="119">
        <f t="shared" si="1"/>
        <v>4</v>
      </c>
      <c r="E16" s="19" t="s">
        <v>948</v>
      </c>
      <c r="F16" s="19" t="s">
        <v>949</v>
      </c>
      <c r="G16" s="19" t="s">
        <v>950</v>
      </c>
      <c r="H16" s="19" t="s">
        <v>951</v>
      </c>
      <c r="I16" s="19" t="s">
        <v>654</v>
      </c>
      <c r="J16" s="19" t="s">
        <v>952</v>
      </c>
      <c r="K16" s="19" t="s">
        <v>654</v>
      </c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</row>
    <row r="17">
      <c r="A17" s="19" t="s">
        <v>953</v>
      </c>
      <c r="B17" s="17">
        <v>4.0</v>
      </c>
      <c r="C17" s="17">
        <v>4.0</v>
      </c>
      <c r="D17" s="119">
        <f t="shared" si="1"/>
        <v>4</v>
      </c>
      <c r="E17" s="19" t="s">
        <v>954</v>
      </c>
      <c r="F17" s="19" t="s">
        <v>955</v>
      </c>
      <c r="G17" s="19" t="s">
        <v>956</v>
      </c>
      <c r="H17" s="19" t="s">
        <v>957</v>
      </c>
      <c r="I17" s="19" t="s">
        <v>654</v>
      </c>
      <c r="J17" s="19" t="s">
        <v>958</v>
      </c>
      <c r="K17" s="19" t="s">
        <v>654</v>
      </c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>
      <c r="A18" s="19" t="s">
        <v>959</v>
      </c>
      <c r="B18" s="17">
        <v>5.0</v>
      </c>
      <c r="C18" s="17">
        <v>5.0</v>
      </c>
      <c r="D18" s="117">
        <f t="shared" si="1"/>
        <v>5</v>
      </c>
      <c r="E18" s="19" t="s">
        <v>960</v>
      </c>
      <c r="F18" s="19" t="s">
        <v>862</v>
      </c>
      <c r="G18" s="19" t="s">
        <v>962</v>
      </c>
      <c r="H18" s="19" t="s">
        <v>775</v>
      </c>
      <c r="I18" s="19" t="s">
        <v>775</v>
      </c>
      <c r="J18" s="19" t="s">
        <v>937</v>
      </c>
      <c r="K18" s="19" t="s">
        <v>654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>
      <c r="A19" s="19" t="s">
        <v>972</v>
      </c>
      <c r="B19" s="17">
        <v>4.0</v>
      </c>
      <c r="C19" s="17">
        <v>4.0</v>
      </c>
      <c r="D19" s="119">
        <f t="shared" si="1"/>
        <v>4</v>
      </c>
      <c r="E19" s="19" t="s">
        <v>974</v>
      </c>
      <c r="F19" s="19" t="s">
        <v>975</v>
      </c>
      <c r="G19" s="19" t="s">
        <v>976</v>
      </c>
      <c r="H19" s="19" t="s">
        <v>654</v>
      </c>
      <c r="I19" s="19" t="s">
        <v>654</v>
      </c>
      <c r="J19" s="19" t="s">
        <v>937</v>
      </c>
      <c r="K19" s="19" t="s">
        <v>654</v>
      </c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>
      <c r="A20" s="19" t="s">
        <v>977</v>
      </c>
      <c r="B20" s="17">
        <v>3.0</v>
      </c>
      <c r="C20" s="17">
        <v>4.0</v>
      </c>
      <c r="D20" s="121">
        <f t="shared" si="1"/>
        <v>3.45</v>
      </c>
      <c r="E20" s="19" t="s">
        <v>978</v>
      </c>
      <c r="F20" s="19" t="s">
        <v>862</v>
      </c>
      <c r="G20" s="19" t="s">
        <v>979</v>
      </c>
      <c r="H20" s="19" t="s">
        <v>67</v>
      </c>
      <c r="I20" s="19" t="s">
        <v>67</v>
      </c>
      <c r="J20" s="19" t="s">
        <v>937</v>
      </c>
      <c r="K20" s="19" t="s">
        <v>67</v>
      </c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>
      <c r="A21" s="19" t="s">
        <v>980</v>
      </c>
      <c r="B21" s="17">
        <v>3.0</v>
      </c>
      <c r="C21" s="17">
        <v>4.0</v>
      </c>
      <c r="D21" s="121">
        <f t="shared" si="1"/>
        <v>3.45</v>
      </c>
      <c r="E21" s="19" t="s">
        <v>981</v>
      </c>
      <c r="F21" s="19" t="s">
        <v>862</v>
      </c>
      <c r="G21" s="19" t="s">
        <v>982</v>
      </c>
      <c r="H21" s="19" t="s">
        <v>67</v>
      </c>
      <c r="I21" s="19" t="s">
        <v>67</v>
      </c>
      <c r="J21" s="19" t="s">
        <v>937</v>
      </c>
      <c r="K21" s="19" t="s">
        <v>654</v>
      </c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>
      <c r="A22" s="19" t="s">
        <v>988</v>
      </c>
      <c r="B22" s="17">
        <v>5.0</v>
      </c>
      <c r="C22" s="17">
        <v>3.0</v>
      </c>
      <c r="D22" s="122">
        <f t="shared" si="1"/>
        <v>4.1</v>
      </c>
      <c r="E22" s="19" t="s">
        <v>995</v>
      </c>
      <c r="F22" s="19" t="s">
        <v>862</v>
      </c>
      <c r="G22" s="19" t="s">
        <v>996</v>
      </c>
      <c r="H22" s="19" t="s">
        <v>997</v>
      </c>
      <c r="I22" s="19" t="s">
        <v>67</v>
      </c>
      <c r="J22" s="19" t="s">
        <v>999</v>
      </c>
      <c r="K22" s="19" t="s">
        <v>775</v>
      </c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>
      <c r="A23" s="19" t="s">
        <v>1000</v>
      </c>
      <c r="B23" s="17">
        <v>4.0</v>
      </c>
      <c r="C23" s="17">
        <v>5.0</v>
      </c>
      <c r="D23" s="118">
        <f t="shared" si="1"/>
        <v>4.45</v>
      </c>
      <c r="E23" s="19" t="s">
        <v>1001</v>
      </c>
      <c r="F23" s="19" t="s">
        <v>862</v>
      </c>
      <c r="G23" s="19" t="s">
        <v>1002</v>
      </c>
      <c r="H23" s="19" t="s">
        <v>67</v>
      </c>
      <c r="I23" s="19" t="s">
        <v>1003</v>
      </c>
      <c r="J23" s="19" t="s">
        <v>937</v>
      </c>
      <c r="K23" s="19" t="s">
        <v>654</v>
      </c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>
      <c r="A24" s="19" t="s">
        <v>1004</v>
      </c>
      <c r="B24" s="17">
        <v>4.0</v>
      </c>
      <c r="C24" s="17">
        <v>4.0</v>
      </c>
      <c r="D24" s="119">
        <f t="shared" si="1"/>
        <v>4</v>
      </c>
      <c r="E24" s="19" t="s">
        <v>1005</v>
      </c>
      <c r="F24" s="19" t="s">
        <v>862</v>
      </c>
      <c r="G24" s="19" t="s">
        <v>1006</v>
      </c>
      <c r="H24" s="19" t="s">
        <v>43</v>
      </c>
      <c r="I24" s="19" t="s">
        <v>67</v>
      </c>
      <c r="J24" s="19" t="s">
        <v>1007</v>
      </c>
      <c r="K24" s="19" t="s">
        <v>654</v>
      </c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>
      <c r="A25" s="19" t="s">
        <v>1008</v>
      </c>
      <c r="B25" s="17">
        <v>5.0</v>
      </c>
      <c r="C25" s="17">
        <v>5.0</v>
      </c>
      <c r="D25" s="117">
        <f t="shared" si="1"/>
        <v>5</v>
      </c>
      <c r="E25" s="19" t="s">
        <v>1012</v>
      </c>
      <c r="F25" s="19" t="s">
        <v>1014</v>
      </c>
      <c r="G25" s="19" t="s">
        <v>1017</v>
      </c>
      <c r="H25" s="19" t="s">
        <v>654</v>
      </c>
      <c r="I25" s="19" t="s">
        <v>654</v>
      </c>
      <c r="J25" s="19" t="s">
        <v>1020</v>
      </c>
      <c r="K25" s="19" t="s">
        <v>654</v>
      </c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</row>
    <row r="26">
      <c r="A26" s="19" t="s">
        <v>1024</v>
      </c>
      <c r="B26" s="17">
        <v>4.0</v>
      </c>
      <c r="C26" s="17">
        <v>4.0</v>
      </c>
      <c r="D26" s="119">
        <f t="shared" si="1"/>
        <v>4</v>
      </c>
      <c r="E26" s="19" t="s">
        <v>1025</v>
      </c>
      <c r="F26" s="19" t="s">
        <v>1026</v>
      </c>
      <c r="G26" s="19" t="s">
        <v>1027</v>
      </c>
      <c r="H26" s="19" t="s">
        <v>43</v>
      </c>
      <c r="I26" s="19" t="s">
        <v>43</v>
      </c>
      <c r="J26" s="19" t="s">
        <v>1028</v>
      </c>
      <c r="K26" s="19" t="s">
        <v>654</v>
      </c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</row>
    <row r="27">
      <c r="A27" s="19" t="s">
        <v>1029</v>
      </c>
      <c r="B27" s="17">
        <v>4.0</v>
      </c>
      <c r="C27" s="17">
        <v>3.0</v>
      </c>
      <c r="D27" s="123">
        <f t="shared" si="1"/>
        <v>3.55</v>
      </c>
      <c r="E27" s="19" t="s">
        <v>1030</v>
      </c>
      <c r="F27" s="19" t="s">
        <v>1031</v>
      </c>
      <c r="G27" s="19" t="s">
        <v>1032</v>
      </c>
      <c r="H27" s="19" t="s">
        <v>1033</v>
      </c>
      <c r="I27" s="19" t="s">
        <v>1033</v>
      </c>
      <c r="J27" s="19" t="s">
        <v>1034</v>
      </c>
      <c r="K27" s="19" t="s">
        <v>654</v>
      </c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</row>
    <row r="28">
      <c r="A28" s="19" t="s">
        <v>1040</v>
      </c>
      <c r="B28" s="17">
        <v>5.0</v>
      </c>
      <c r="C28" s="17">
        <v>4.0</v>
      </c>
      <c r="D28" s="120">
        <f t="shared" si="1"/>
        <v>4.55</v>
      </c>
      <c r="E28" s="19" t="s">
        <v>1045</v>
      </c>
      <c r="F28" s="19" t="s">
        <v>1046</v>
      </c>
      <c r="G28" s="19" t="s">
        <v>1048</v>
      </c>
      <c r="H28" s="19" t="s">
        <v>654</v>
      </c>
      <c r="I28" s="19" t="s">
        <v>654</v>
      </c>
      <c r="J28" s="19" t="s">
        <v>1049</v>
      </c>
      <c r="K28" s="19" t="s">
        <v>654</v>
      </c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</row>
    <row r="29">
      <c r="A29" s="19" t="s">
        <v>1050</v>
      </c>
      <c r="B29" s="17">
        <v>5.0</v>
      </c>
      <c r="C29" s="17">
        <v>4.0</v>
      </c>
      <c r="D29" s="120">
        <f t="shared" si="1"/>
        <v>4.55</v>
      </c>
      <c r="E29" s="19" t="s">
        <v>1051</v>
      </c>
      <c r="F29" s="19" t="s">
        <v>1052</v>
      </c>
      <c r="G29" s="19" t="s">
        <v>1053</v>
      </c>
      <c r="H29" s="19" t="s">
        <v>1054</v>
      </c>
      <c r="I29" s="19" t="s">
        <v>1055</v>
      </c>
      <c r="J29" s="19" t="s">
        <v>1056</v>
      </c>
      <c r="K29" s="19" t="s">
        <v>654</v>
      </c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>
      <c r="A30" s="19" t="s">
        <v>1057</v>
      </c>
      <c r="B30" s="17">
        <v>4.0</v>
      </c>
      <c r="C30" s="17">
        <v>4.0</v>
      </c>
      <c r="D30" s="119">
        <f t="shared" si="1"/>
        <v>4</v>
      </c>
      <c r="E30" s="19" t="s">
        <v>1059</v>
      </c>
      <c r="F30" s="19" t="s">
        <v>1061</v>
      </c>
      <c r="G30" s="19" t="s">
        <v>1063</v>
      </c>
      <c r="H30" s="19" t="s">
        <v>43</v>
      </c>
      <c r="I30" s="19" t="s">
        <v>1066</v>
      </c>
      <c r="J30" s="19" t="s">
        <v>1068</v>
      </c>
      <c r="K30" s="19" t="s">
        <v>654</v>
      </c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</row>
    <row r="31">
      <c r="A31" s="19" t="s">
        <v>1075</v>
      </c>
      <c r="B31" s="17">
        <v>4.0</v>
      </c>
      <c r="C31" s="17">
        <v>4.0</v>
      </c>
      <c r="D31" s="119">
        <f t="shared" si="1"/>
        <v>4</v>
      </c>
      <c r="E31" s="19" t="s">
        <v>1077</v>
      </c>
      <c r="F31" s="19" t="s">
        <v>1078</v>
      </c>
      <c r="G31" s="19" t="s">
        <v>1079</v>
      </c>
      <c r="H31" s="19" t="s">
        <v>67</v>
      </c>
      <c r="I31" s="19" t="s">
        <v>1080</v>
      </c>
      <c r="J31" s="19" t="s">
        <v>1081</v>
      </c>
      <c r="K31" s="19" t="s">
        <v>654</v>
      </c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</row>
    <row r="32">
      <c r="A32" s="19" t="s">
        <v>1082</v>
      </c>
      <c r="B32" s="17">
        <v>5.0</v>
      </c>
      <c r="C32" s="17">
        <v>5.0</v>
      </c>
      <c r="D32" s="117">
        <f t="shared" si="1"/>
        <v>5</v>
      </c>
      <c r="E32" s="19" t="s">
        <v>1083</v>
      </c>
      <c r="F32" s="19" t="s">
        <v>1084</v>
      </c>
      <c r="G32" s="19" t="s">
        <v>1085</v>
      </c>
      <c r="H32" s="19" t="s">
        <v>654</v>
      </c>
      <c r="I32" s="19" t="s">
        <v>654</v>
      </c>
      <c r="J32" s="19" t="s">
        <v>1086</v>
      </c>
      <c r="K32" s="19" t="s">
        <v>654</v>
      </c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8.13"/>
    <col customWidth="1" min="10" max="10" width="22.13"/>
  </cols>
  <sheetData>
    <row r="1">
      <c r="A1" s="2" t="s">
        <v>1167</v>
      </c>
      <c r="B1" s="4"/>
      <c r="C1" s="4"/>
      <c r="D1" s="4"/>
      <c r="E1" s="4"/>
      <c r="F1" s="4"/>
      <c r="G1" s="4"/>
      <c r="H1" s="4"/>
      <c r="I1" s="4"/>
      <c r="J1" s="4"/>
    </row>
    <row r="2">
      <c r="A2" s="9" t="s">
        <v>1168</v>
      </c>
      <c r="B2" s="9" t="s">
        <v>1169</v>
      </c>
      <c r="C2" s="9" t="s">
        <v>90</v>
      </c>
      <c r="D2" s="9" t="s">
        <v>1170</v>
      </c>
      <c r="E2" s="9" t="s">
        <v>1171</v>
      </c>
      <c r="F2" s="9" t="s">
        <v>1172</v>
      </c>
      <c r="G2" s="9" t="s">
        <v>1173</v>
      </c>
      <c r="H2" s="9" t="s">
        <v>1174</v>
      </c>
      <c r="I2" s="9" t="s">
        <v>1175</v>
      </c>
      <c r="J2" s="9" t="s">
        <v>1176</v>
      </c>
    </row>
    <row r="3">
      <c r="A3" s="124">
        <v>2017.0</v>
      </c>
      <c r="B3" s="125" t="s">
        <v>1177</v>
      </c>
      <c r="C3" s="125" t="s">
        <v>45</v>
      </c>
      <c r="D3" s="126">
        <v>117.0</v>
      </c>
      <c r="E3" s="126">
        <v>77.0</v>
      </c>
      <c r="F3" s="126">
        <v>5945899.0</v>
      </c>
      <c r="G3" s="126">
        <v>38.5</v>
      </c>
      <c r="H3" s="126">
        <v>65.8119658119658</v>
      </c>
      <c r="I3" s="127"/>
      <c r="J3" s="128"/>
    </row>
    <row r="4">
      <c r="A4" s="129">
        <v>2017.0</v>
      </c>
      <c r="B4" s="19" t="s">
        <v>1177</v>
      </c>
      <c r="C4" s="19" t="s">
        <v>32</v>
      </c>
      <c r="D4" s="17">
        <v>112.0</v>
      </c>
      <c r="E4" s="17">
        <v>20.0</v>
      </c>
      <c r="F4" s="17">
        <v>3662665.0</v>
      </c>
      <c r="G4" s="17">
        <v>23.72</v>
      </c>
      <c r="H4" s="17">
        <v>17.094017094017094</v>
      </c>
      <c r="I4" s="7"/>
      <c r="J4" s="130"/>
    </row>
    <row r="5">
      <c r="A5" s="129">
        <v>2017.0</v>
      </c>
      <c r="B5" s="19" t="s">
        <v>1177</v>
      </c>
      <c r="C5" s="19" t="s">
        <v>51</v>
      </c>
      <c r="D5" s="17">
        <v>94.0</v>
      </c>
      <c r="E5" s="17">
        <v>15.0</v>
      </c>
      <c r="F5" s="17">
        <v>3898161.0</v>
      </c>
      <c r="G5" s="17">
        <v>25.24</v>
      </c>
      <c r="H5" s="17">
        <v>12.82051282051282</v>
      </c>
      <c r="I5" s="7"/>
      <c r="J5" s="130"/>
    </row>
    <row r="6">
      <c r="A6" s="129">
        <v>2017.0</v>
      </c>
      <c r="B6" s="19" t="s">
        <v>1177</v>
      </c>
      <c r="C6" s="19" t="s">
        <v>53</v>
      </c>
      <c r="D6" s="17">
        <v>23.0</v>
      </c>
      <c r="E6" s="17">
        <v>3.0</v>
      </c>
      <c r="F6" s="17">
        <v>833092.0</v>
      </c>
      <c r="G6" s="17">
        <v>5.39</v>
      </c>
      <c r="H6" s="17">
        <v>2.564102564102564</v>
      </c>
      <c r="I6" s="7"/>
      <c r="J6" s="130"/>
    </row>
    <row r="7">
      <c r="A7" s="129">
        <v>2017.0</v>
      </c>
      <c r="B7" s="19" t="s">
        <v>1177</v>
      </c>
      <c r="C7" s="19" t="s">
        <v>74</v>
      </c>
      <c r="D7" s="17">
        <v>111.0</v>
      </c>
      <c r="E7" s="17">
        <v>0.0</v>
      </c>
      <c r="F7" s="17">
        <v>234400.0</v>
      </c>
      <c r="G7" s="17">
        <v>1.52</v>
      </c>
      <c r="H7" s="17">
        <v>0.0</v>
      </c>
      <c r="I7" s="7"/>
      <c r="J7" s="130"/>
    </row>
    <row r="8">
      <c r="A8" s="129">
        <v>2017.0</v>
      </c>
      <c r="B8" s="19" t="s">
        <v>1177</v>
      </c>
      <c r="C8" s="19" t="s">
        <v>1178</v>
      </c>
      <c r="D8" s="19"/>
      <c r="E8" s="17">
        <v>2.0</v>
      </c>
      <c r="F8" s="17">
        <v>760778.0</v>
      </c>
      <c r="G8" s="17">
        <v>4.93</v>
      </c>
      <c r="H8" s="17">
        <v>1.7094017094017095</v>
      </c>
      <c r="I8" s="7"/>
      <c r="J8" s="130"/>
    </row>
    <row r="9">
      <c r="A9" s="129">
        <v>2017.0</v>
      </c>
      <c r="B9" s="19" t="s">
        <v>1177</v>
      </c>
      <c r="C9" s="19" t="s">
        <v>1180</v>
      </c>
      <c r="D9" s="19"/>
      <c r="E9" s="17">
        <v>0.0</v>
      </c>
      <c r="F9" s="7"/>
      <c r="G9" s="17">
        <v>0.7</v>
      </c>
      <c r="H9" s="17">
        <v>0.0</v>
      </c>
      <c r="I9" s="7"/>
      <c r="J9" s="130"/>
    </row>
    <row r="10">
      <c r="A10" s="129">
        <v>2022.0</v>
      </c>
      <c r="B10" s="19" t="s">
        <v>1177</v>
      </c>
      <c r="C10" s="19" t="s">
        <v>45</v>
      </c>
      <c r="D10" s="17">
        <v>117.0</v>
      </c>
      <c r="E10" s="17">
        <v>18.0</v>
      </c>
      <c r="F10" s="17">
        <v>3576684.0</v>
      </c>
      <c r="G10" s="17">
        <v>22.98</v>
      </c>
      <c r="H10" s="17">
        <v>15.384615384615385</v>
      </c>
      <c r="I10" s="17">
        <v>-59.0</v>
      </c>
      <c r="J10" s="131">
        <v>-15.52</v>
      </c>
    </row>
    <row r="11">
      <c r="A11" s="129">
        <v>2022.0</v>
      </c>
      <c r="B11" s="19" t="s">
        <v>1177</v>
      </c>
      <c r="C11" s="19" t="s">
        <v>32</v>
      </c>
      <c r="D11" s="17">
        <v>117.0</v>
      </c>
      <c r="E11" s="17">
        <v>92.0</v>
      </c>
      <c r="F11" s="17">
        <v>6538783.0</v>
      </c>
      <c r="G11" s="17">
        <v>42.01</v>
      </c>
      <c r="H11" s="17">
        <v>78.63247863247864</v>
      </c>
      <c r="I11" s="17">
        <v>72.0</v>
      </c>
      <c r="J11" s="131">
        <v>18.29</v>
      </c>
    </row>
    <row r="12">
      <c r="A12" s="129">
        <v>2022.0</v>
      </c>
      <c r="B12" s="19" t="s">
        <v>1177</v>
      </c>
      <c r="C12" s="19" t="s">
        <v>51</v>
      </c>
      <c r="D12" s="17">
        <v>97.0</v>
      </c>
      <c r="E12" s="17">
        <v>3.0</v>
      </c>
      <c r="F12" s="17">
        <v>2861286.0</v>
      </c>
      <c r="G12" s="17">
        <v>18.38</v>
      </c>
      <c r="H12" s="17">
        <v>2.564102564102564</v>
      </c>
      <c r="I12" s="17">
        <v>-12.0</v>
      </c>
      <c r="J12" s="131">
        <v>-6.86</v>
      </c>
    </row>
    <row r="13">
      <c r="A13" s="129">
        <v>2022.0</v>
      </c>
      <c r="B13" s="19" t="s">
        <v>1177</v>
      </c>
      <c r="C13" s="19" t="s">
        <v>53</v>
      </c>
      <c r="D13" s="17">
        <v>73.0</v>
      </c>
      <c r="E13" s="17">
        <v>2.0</v>
      </c>
      <c r="F13" s="17">
        <v>1027143.0</v>
      </c>
      <c r="G13" s="17">
        <v>6.6</v>
      </c>
      <c r="H13" s="17">
        <v>1.7094017094017095</v>
      </c>
      <c r="I13" s="17">
        <v>-1.0</v>
      </c>
      <c r="J13" s="131">
        <v>1.21</v>
      </c>
    </row>
    <row r="14">
      <c r="A14" s="129">
        <v>2022.0</v>
      </c>
      <c r="B14" s="19" t="s">
        <v>1177</v>
      </c>
      <c r="C14" s="19" t="s">
        <v>74</v>
      </c>
      <c r="D14" s="17">
        <v>20.0</v>
      </c>
      <c r="E14" s="17">
        <v>1.0</v>
      </c>
      <c r="F14" s="17">
        <v>275232.0</v>
      </c>
      <c r="G14" s="17">
        <v>1.77</v>
      </c>
      <c r="H14" s="17">
        <v>0.8547008547008548</v>
      </c>
      <c r="I14" s="17">
        <v>1.0</v>
      </c>
      <c r="J14" s="131">
        <v>0.25</v>
      </c>
    </row>
    <row r="15">
      <c r="A15" s="129">
        <v>2022.0</v>
      </c>
      <c r="B15" s="19" t="s">
        <v>1177</v>
      </c>
      <c r="C15" s="19" t="s">
        <v>1178</v>
      </c>
      <c r="D15" s="19"/>
      <c r="E15" s="17">
        <v>1.0</v>
      </c>
      <c r="F15" s="17">
        <v>1174136.0</v>
      </c>
      <c r="G15" s="17">
        <v>7.55</v>
      </c>
      <c r="H15" s="17">
        <v>0.8547008547008548</v>
      </c>
      <c r="I15" s="17">
        <v>-1.0</v>
      </c>
      <c r="J15" s="131">
        <v>2.62</v>
      </c>
    </row>
    <row r="16">
      <c r="A16" s="132">
        <v>2022.0</v>
      </c>
      <c r="B16" s="133" t="s">
        <v>1177</v>
      </c>
      <c r="C16" s="133" t="s">
        <v>1180</v>
      </c>
      <c r="D16" s="133"/>
      <c r="E16" s="134">
        <v>0.0</v>
      </c>
      <c r="F16" s="135"/>
      <c r="G16" s="134">
        <v>0.71</v>
      </c>
      <c r="H16" s="134">
        <v>0.0</v>
      </c>
      <c r="I16" s="134">
        <v>0.0</v>
      </c>
      <c r="J16" s="136">
        <v>0.01</v>
      </c>
    </row>
    <row r="17">
      <c r="A17" s="124">
        <v>2019.0</v>
      </c>
      <c r="B17" s="125" t="s">
        <v>1199</v>
      </c>
      <c r="C17" s="125" t="s">
        <v>45</v>
      </c>
      <c r="D17" s="126">
        <v>13.0</v>
      </c>
      <c r="E17" s="126">
        <v>8.0</v>
      </c>
      <c r="F17" s="126">
        <v>5523066.0</v>
      </c>
      <c r="G17" s="126">
        <v>40.12</v>
      </c>
      <c r="H17" s="126">
        <v>61.53846153846154</v>
      </c>
      <c r="I17" s="127"/>
      <c r="J17" s="128"/>
    </row>
    <row r="18">
      <c r="A18" s="129">
        <v>2019.0</v>
      </c>
      <c r="B18" s="19" t="s">
        <v>1199</v>
      </c>
      <c r="C18" s="19" t="s">
        <v>32</v>
      </c>
      <c r="D18" s="17">
        <v>13.0</v>
      </c>
      <c r="E18" s="17">
        <v>1.0</v>
      </c>
      <c r="F18" s="17">
        <v>1015773.0</v>
      </c>
      <c r="G18" s="17">
        <v>7.38</v>
      </c>
      <c r="H18" s="17">
        <v>7.6923076923076925</v>
      </c>
      <c r="I18" s="7"/>
      <c r="J18" s="130"/>
    </row>
    <row r="19">
      <c r="A19" s="129">
        <v>2019.0</v>
      </c>
      <c r="B19" s="19" t="s">
        <v>1199</v>
      </c>
      <c r="C19" s="19" t="s">
        <v>51</v>
      </c>
      <c r="D19" s="17">
        <v>10.0</v>
      </c>
      <c r="E19" s="17">
        <v>2.0</v>
      </c>
      <c r="F19" s="17">
        <v>3778574.0</v>
      </c>
      <c r="G19" s="17">
        <v>27.45</v>
      </c>
      <c r="H19" s="17">
        <v>15.384615384615385</v>
      </c>
      <c r="I19" s="7"/>
      <c r="J19" s="130"/>
    </row>
    <row r="20">
      <c r="A20" s="129">
        <v>2019.0</v>
      </c>
      <c r="B20" s="19" t="s">
        <v>1199</v>
      </c>
      <c r="C20" s="19" t="s">
        <v>53</v>
      </c>
      <c r="D20" s="17">
        <v>3.0</v>
      </c>
      <c r="E20" s="17">
        <v>2.0</v>
      </c>
      <c r="F20" s="17">
        <v>1325445.0</v>
      </c>
      <c r="G20" s="17">
        <v>9.63</v>
      </c>
      <c r="H20" s="17">
        <v>15.384615384615385</v>
      </c>
      <c r="I20" s="7"/>
      <c r="J20" s="130"/>
    </row>
    <row r="21">
      <c r="A21" s="129">
        <v>2019.0</v>
      </c>
      <c r="B21" s="19" t="s">
        <v>1199</v>
      </c>
      <c r="C21" s="19" t="s">
        <v>74</v>
      </c>
      <c r="D21" s="17">
        <v>3.0</v>
      </c>
      <c r="E21" s="17">
        <v>0.0</v>
      </c>
      <c r="F21" s="17">
        <v>479788.0</v>
      </c>
      <c r="G21" s="17">
        <v>3.49</v>
      </c>
      <c r="H21" s="17">
        <v>0.0</v>
      </c>
      <c r="I21" s="7"/>
      <c r="J21" s="130"/>
    </row>
    <row r="22">
      <c r="A22" s="129">
        <v>2019.0</v>
      </c>
      <c r="B22" s="19" t="s">
        <v>1199</v>
      </c>
      <c r="C22" s="19" t="s">
        <v>1178</v>
      </c>
      <c r="D22" s="19"/>
      <c r="E22" s="17">
        <v>0.0</v>
      </c>
      <c r="F22" s="17">
        <v>1488363.0</v>
      </c>
      <c r="G22" s="17">
        <v>10.81</v>
      </c>
      <c r="H22" s="17">
        <v>0.0</v>
      </c>
      <c r="I22" s="7"/>
      <c r="J22" s="130"/>
    </row>
    <row r="23">
      <c r="A23" s="129">
        <v>2019.0</v>
      </c>
      <c r="B23" s="19" t="s">
        <v>1199</v>
      </c>
      <c r="C23" s="19" t="s">
        <v>1180</v>
      </c>
      <c r="D23" s="19"/>
      <c r="E23" s="17">
        <v>0.0</v>
      </c>
      <c r="F23" s="7"/>
      <c r="G23" s="17">
        <v>1.12</v>
      </c>
      <c r="H23" s="17">
        <v>0.0</v>
      </c>
      <c r="I23" s="7"/>
      <c r="J23" s="130"/>
    </row>
    <row r="24">
      <c r="A24" s="129">
        <v>2024.0</v>
      </c>
      <c r="B24" s="19" t="s">
        <v>1199</v>
      </c>
      <c r="C24" s="19" t="s">
        <v>45</v>
      </c>
      <c r="D24" s="17">
        <v>13.0</v>
      </c>
      <c r="E24" s="17">
        <v>7.0</v>
      </c>
      <c r="F24" s="17">
        <v>3559656.0</v>
      </c>
      <c r="G24" s="17">
        <v>26.3</v>
      </c>
      <c r="H24" s="17">
        <v>53.84615384615385</v>
      </c>
      <c r="I24" s="17">
        <v>-1.0</v>
      </c>
      <c r="J24" s="131">
        <v>-13.82</v>
      </c>
    </row>
    <row r="25">
      <c r="A25" s="129">
        <v>2024.0</v>
      </c>
      <c r="B25" s="19" t="s">
        <v>1199</v>
      </c>
      <c r="C25" s="19" t="s">
        <v>32</v>
      </c>
      <c r="D25" s="17">
        <v>13.0</v>
      </c>
      <c r="E25" s="17">
        <v>3.0</v>
      </c>
      <c r="F25" s="17">
        <v>3521564.0</v>
      </c>
      <c r="G25" s="17">
        <v>26.02</v>
      </c>
      <c r="H25" s="17">
        <v>23.076923076923077</v>
      </c>
      <c r="I25" s="17">
        <v>2.0</v>
      </c>
      <c r="J25" s="131">
        <v>18.64</v>
      </c>
    </row>
    <row r="26">
      <c r="A26" s="129">
        <v>2024.0</v>
      </c>
      <c r="B26" s="19" t="s">
        <v>1199</v>
      </c>
      <c r="C26" s="19" t="s">
        <v>51</v>
      </c>
      <c r="D26" s="17">
        <v>13.0</v>
      </c>
      <c r="E26" s="17">
        <v>1.0</v>
      </c>
      <c r="F26" s="17">
        <v>1814318.0</v>
      </c>
      <c r="G26" s="17">
        <v>13.42</v>
      </c>
      <c r="H26" s="17">
        <v>7.6923076923076925</v>
      </c>
      <c r="I26" s="17">
        <v>-1.0</v>
      </c>
      <c r="J26" s="131">
        <v>-14.03</v>
      </c>
    </row>
    <row r="27">
      <c r="A27" s="129">
        <v>2024.0</v>
      </c>
      <c r="B27" s="19" t="s">
        <v>1199</v>
      </c>
      <c r="C27" s="19" t="s">
        <v>53</v>
      </c>
      <c r="D27" s="17">
        <v>13.0</v>
      </c>
      <c r="E27" s="17">
        <v>0.0</v>
      </c>
      <c r="F27" s="17">
        <v>2510838.0</v>
      </c>
      <c r="G27" s="17">
        <v>18.56</v>
      </c>
      <c r="H27" s="17">
        <v>0.0</v>
      </c>
      <c r="I27" s="17">
        <v>-2.0</v>
      </c>
      <c r="J27" s="131">
        <v>8.93</v>
      </c>
    </row>
    <row r="28">
      <c r="A28" s="129">
        <v>2024.0</v>
      </c>
      <c r="B28" s="19" t="s">
        <v>1199</v>
      </c>
      <c r="C28" s="19" t="s">
        <v>74</v>
      </c>
      <c r="D28" s="17">
        <v>13.0</v>
      </c>
      <c r="E28" s="17">
        <v>0.0</v>
      </c>
      <c r="F28" s="17">
        <v>337140.0</v>
      </c>
      <c r="G28" s="17">
        <v>2.49</v>
      </c>
      <c r="H28" s="17">
        <v>0.0</v>
      </c>
      <c r="I28" s="17">
        <v>0.0</v>
      </c>
      <c r="J28" s="131">
        <v>-1.0</v>
      </c>
    </row>
    <row r="29">
      <c r="A29" s="129">
        <v>2024.0</v>
      </c>
      <c r="B29" s="19" t="s">
        <v>1199</v>
      </c>
      <c r="C29" s="19" t="s">
        <v>1178</v>
      </c>
      <c r="D29" s="19"/>
      <c r="E29" s="17">
        <v>2.0</v>
      </c>
      <c r="F29" s="17">
        <v>1720249.0</v>
      </c>
      <c r="G29" s="17">
        <v>12.72</v>
      </c>
      <c r="H29" s="17">
        <v>15.384615384615385</v>
      </c>
      <c r="I29" s="17">
        <v>2.0</v>
      </c>
      <c r="J29" s="131">
        <v>1.91</v>
      </c>
    </row>
    <row r="30">
      <c r="A30" s="132">
        <v>2024.0</v>
      </c>
      <c r="B30" s="133" t="s">
        <v>1199</v>
      </c>
      <c r="C30" s="133" t="s">
        <v>1180</v>
      </c>
      <c r="D30" s="133"/>
      <c r="E30" s="134">
        <v>0.0</v>
      </c>
      <c r="F30" s="135"/>
      <c r="G30" s="134">
        <v>0.49</v>
      </c>
      <c r="H30" s="134">
        <v>0.0</v>
      </c>
      <c r="I30" s="134">
        <v>0.0</v>
      </c>
      <c r="J30" s="136">
        <v>-0.63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6.5"/>
    <col customWidth="1" min="6" max="6" width="25.13"/>
    <col customWidth="1" min="7" max="7" width="10.88"/>
    <col customWidth="1" min="10" max="10" width="32.63"/>
  </cols>
  <sheetData>
    <row r="1">
      <c r="A1" s="2" t="s">
        <v>1179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7"/>
      <c r="S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>
      <c r="A3" s="9" t="s">
        <v>1182</v>
      </c>
      <c r="B3" s="9" t="s">
        <v>1183</v>
      </c>
      <c r="C3" s="9" t="s">
        <v>310</v>
      </c>
      <c r="D3" s="9" t="s">
        <v>36</v>
      </c>
      <c r="E3" s="9" t="s">
        <v>9</v>
      </c>
      <c r="F3" s="9" t="s">
        <v>1184</v>
      </c>
      <c r="G3" s="9" t="s">
        <v>1185</v>
      </c>
      <c r="H3" s="9" t="s">
        <v>1186</v>
      </c>
      <c r="I3" s="14" t="s">
        <v>1187</v>
      </c>
      <c r="J3" s="9" t="s">
        <v>1188</v>
      </c>
      <c r="K3" s="9" t="s">
        <v>1189</v>
      </c>
      <c r="L3" s="9" t="s">
        <v>1190</v>
      </c>
      <c r="M3" s="14" t="s">
        <v>1191</v>
      </c>
      <c r="N3" s="9" t="s">
        <v>1192</v>
      </c>
      <c r="O3" s="9" t="s">
        <v>1193</v>
      </c>
      <c r="P3" s="9" t="s">
        <v>1194</v>
      </c>
      <c r="Q3" s="9" t="s">
        <v>1195</v>
      </c>
      <c r="R3" s="21"/>
      <c r="S3" s="21"/>
    </row>
    <row r="4">
      <c r="A4" s="17">
        <v>1.0</v>
      </c>
      <c r="B4" s="19" t="s">
        <v>59</v>
      </c>
      <c r="C4" s="7"/>
      <c r="D4" s="19" t="s">
        <v>60</v>
      </c>
      <c r="E4" s="19" t="s">
        <v>61</v>
      </c>
      <c r="F4" s="19" t="s">
        <v>63</v>
      </c>
      <c r="G4" s="19" t="s">
        <v>45</v>
      </c>
      <c r="H4" s="17">
        <v>46916.0</v>
      </c>
      <c r="I4" s="17">
        <v>36.5</v>
      </c>
      <c r="J4" s="19" t="s">
        <v>1196</v>
      </c>
      <c r="K4" s="19" t="s">
        <v>53</v>
      </c>
      <c r="L4" s="17">
        <v>42280.0</v>
      </c>
      <c r="M4" s="17">
        <v>32.89</v>
      </c>
      <c r="N4" s="17">
        <v>4636.0</v>
      </c>
      <c r="O4" s="17">
        <v>3.61</v>
      </c>
      <c r="P4" s="17">
        <v>75.94</v>
      </c>
      <c r="Q4" s="17">
        <v>170312.0</v>
      </c>
      <c r="R4" s="7"/>
      <c r="S4" s="7"/>
    </row>
    <row r="5">
      <c r="A5" s="17">
        <v>2.0</v>
      </c>
      <c r="B5" s="19" t="s">
        <v>216</v>
      </c>
      <c r="C5" s="19" t="s">
        <v>1197</v>
      </c>
      <c r="D5" s="19" t="s">
        <v>60</v>
      </c>
      <c r="E5" s="19" t="s">
        <v>61</v>
      </c>
      <c r="F5" s="19" t="s">
        <v>217</v>
      </c>
      <c r="G5" s="19" t="s">
        <v>32</v>
      </c>
      <c r="H5" s="17">
        <v>50339.0</v>
      </c>
      <c r="I5" s="17">
        <v>36.79</v>
      </c>
      <c r="J5" s="19" t="s">
        <v>1198</v>
      </c>
      <c r="K5" s="19" t="s">
        <v>45</v>
      </c>
      <c r="L5" s="17">
        <v>49135.0</v>
      </c>
      <c r="M5" s="17">
        <v>35.91</v>
      </c>
      <c r="N5" s="17">
        <v>1204.0</v>
      </c>
      <c r="O5" s="17">
        <v>0.88</v>
      </c>
      <c r="P5" s="17">
        <v>73.61</v>
      </c>
      <c r="Q5" s="17">
        <v>186914.0</v>
      </c>
      <c r="R5" s="7"/>
      <c r="S5" s="7"/>
    </row>
    <row r="6">
      <c r="A6" s="17">
        <v>3.0</v>
      </c>
      <c r="B6" s="19" t="s">
        <v>60</v>
      </c>
      <c r="C6" s="7"/>
      <c r="D6" s="19" t="s">
        <v>60</v>
      </c>
      <c r="E6" s="19" t="s">
        <v>61</v>
      </c>
      <c r="F6" s="19" t="s">
        <v>225</v>
      </c>
      <c r="G6" s="19" t="s">
        <v>53</v>
      </c>
      <c r="H6" s="17">
        <v>43132.0</v>
      </c>
      <c r="I6" s="17">
        <v>38.23</v>
      </c>
      <c r="J6" s="19" t="s">
        <v>1200</v>
      </c>
      <c r="K6" s="19" t="s">
        <v>45</v>
      </c>
      <c r="L6" s="17">
        <v>35373.0</v>
      </c>
      <c r="M6" s="17">
        <v>31.35</v>
      </c>
      <c r="N6" s="17">
        <v>7759.0</v>
      </c>
      <c r="O6" s="17">
        <v>6.88</v>
      </c>
      <c r="P6" s="17">
        <v>73.82</v>
      </c>
      <c r="Q6" s="17">
        <v>153731.0</v>
      </c>
      <c r="R6" s="7"/>
      <c r="S6" s="7"/>
    </row>
    <row r="7">
      <c r="A7" s="17">
        <v>4.0</v>
      </c>
      <c r="B7" s="19" t="s">
        <v>244</v>
      </c>
      <c r="C7" s="7"/>
      <c r="D7" s="19" t="s">
        <v>244</v>
      </c>
      <c r="E7" s="19" t="s">
        <v>61</v>
      </c>
      <c r="F7" s="19" t="s">
        <v>245</v>
      </c>
      <c r="G7" s="19" t="s">
        <v>45</v>
      </c>
      <c r="H7" s="17">
        <v>43743.0</v>
      </c>
      <c r="I7" s="17">
        <v>35.43</v>
      </c>
      <c r="J7" s="19" t="s">
        <v>1201</v>
      </c>
      <c r="K7" s="19" t="s">
        <v>51</v>
      </c>
      <c r="L7" s="17">
        <v>36408.0</v>
      </c>
      <c r="M7" s="17">
        <v>29.49</v>
      </c>
      <c r="N7" s="17">
        <v>7335.0</v>
      </c>
      <c r="O7" s="17">
        <v>5.94</v>
      </c>
      <c r="P7" s="17">
        <v>72.36</v>
      </c>
      <c r="Q7" s="17">
        <v>171576.0</v>
      </c>
      <c r="R7" s="7"/>
      <c r="S7" s="7"/>
    </row>
    <row r="8">
      <c r="A8" s="17">
        <v>5.0</v>
      </c>
      <c r="B8" s="19" t="s">
        <v>249</v>
      </c>
      <c r="C8" s="19" t="s">
        <v>1197</v>
      </c>
      <c r="D8" s="19" t="s">
        <v>244</v>
      </c>
      <c r="E8" s="19" t="s">
        <v>61</v>
      </c>
      <c r="F8" s="19" t="s">
        <v>250</v>
      </c>
      <c r="G8" s="19" t="s">
        <v>45</v>
      </c>
      <c r="H8" s="17">
        <v>51133.0</v>
      </c>
      <c r="I8" s="17">
        <v>36.85</v>
      </c>
      <c r="J8" s="19" t="s">
        <v>1202</v>
      </c>
      <c r="K8" s="19" t="s">
        <v>32</v>
      </c>
      <c r="L8" s="17">
        <v>50002.0</v>
      </c>
      <c r="M8" s="17">
        <v>36.04</v>
      </c>
      <c r="N8" s="17">
        <v>1131.0</v>
      </c>
      <c r="O8" s="17">
        <v>0.81</v>
      </c>
      <c r="P8" s="17">
        <v>71.03</v>
      </c>
      <c r="Q8" s="17">
        <v>196692.0</v>
      </c>
      <c r="R8" s="7"/>
      <c r="S8" s="7"/>
    </row>
    <row r="9">
      <c r="A9" s="17">
        <v>6.0</v>
      </c>
      <c r="B9" s="19" t="s">
        <v>253</v>
      </c>
      <c r="C9" s="7"/>
      <c r="D9" s="19" t="s">
        <v>244</v>
      </c>
      <c r="E9" s="19" t="s">
        <v>61</v>
      </c>
      <c r="F9" s="19" t="s">
        <v>254</v>
      </c>
      <c r="G9" s="19" t="s">
        <v>45</v>
      </c>
      <c r="H9" s="17">
        <v>48679.0</v>
      </c>
      <c r="I9" s="17">
        <v>36.76</v>
      </c>
      <c r="J9" s="19" t="s">
        <v>1203</v>
      </c>
      <c r="K9" s="19" t="s">
        <v>51</v>
      </c>
      <c r="L9" s="17">
        <v>41505.0</v>
      </c>
      <c r="M9" s="17">
        <v>31.34</v>
      </c>
      <c r="N9" s="17">
        <v>7174.0</v>
      </c>
      <c r="O9" s="17">
        <v>5.42</v>
      </c>
      <c r="P9" s="17">
        <v>72.17</v>
      </c>
      <c r="Q9" s="17">
        <v>184557.0</v>
      </c>
      <c r="R9" s="7"/>
      <c r="S9" s="7"/>
    </row>
    <row r="10">
      <c r="A10" s="17">
        <v>7.0</v>
      </c>
      <c r="B10" s="19" t="s">
        <v>256</v>
      </c>
      <c r="C10" s="7"/>
      <c r="D10" s="19" t="s">
        <v>244</v>
      </c>
      <c r="E10" s="19" t="s">
        <v>61</v>
      </c>
      <c r="F10" s="19" t="s">
        <v>258</v>
      </c>
      <c r="G10" s="19" t="s">
        <v>32</v>
      </c>
      <c r="H10" s="17">
        <v>55570.0</v>
      </c>
      <c r="I10" s="17">
        <v>43.79</v>
      </c>
      <c r="J10" s="19" t="s">
        <v>1204</v>
      </c>
      <c r="K10" s="19" t="s">
        <v>45</v>
      </c>
      <c r="L10" s="17">
        <v>27098.0</v>
      </c>
      <c r="M10" s="17">
        <v>21.35</v>
      </c>
      <c r="N10" s="17">
        <v>28472.0</v>
      </c>
      <c r="O10" s="17">
        <v>22.44</v>
      </c>
      <c r="P10" s="17">
        <v>67.22</v>
      </c>
      <c r="Q10" s="17">
        <v>189736.0</v>
      </c>
      <c r="R10" s="7"/>
      <c r="S10" s="7"/>
    </row>
    <row r="11">
      <c r="A11" s="17">
        <v>8.0</v>
      </c>
      <c r="B11" s="19" t="s">
        <v>260</v>
      </c>
      <c r="C11" s="19" t="s">
        <v>1197</v>
      </c>
      <c r="D11" s="19" t="s">
        <v>244</v>
      </c>
      <c r="E11" s="19" t="s">
        <v>61</v>
      </c>
      <c r="F11" s="19" t="s">
        <v>261</v>
      </c>
      <c r="G11" s="19" t="s">
        <v>32</v>
      </c>
      <c r="H11" s="17">
        <v>53205.0</v>
      </c>
      <c r="I11" s="17">
        <v>43.23</v>
      </c>
      <c r="J11" s="19" t="s">
        <v>1205</v>
      </c>
      <c r="K11" s="19" t="s">
        <v>51</v>
      </c>
      <c r="L11" s="17">
        <v>36242.0</v>
      </c>
      <c r="M11" s="17">
        <v>29.45</v>
      </c>
      <c r="N11" s="17">
        <v>16963.0</v>
      </c>
      <c r="O11" s="17">
        <v>13.78</v>
      </c>
      <c r="P11" s="17">
        <v>68.69</v>
      </c>
      <c r="Q11" s="17">
        <v>181209.0</v>
      </c>
      <c r="R11" s="7"/>
      <c r="S11" s="7"/>
    </row>
    <row r="12">
      <c r="A12" s="17">
        <v>9.0</v>
      </c>
      <c r="B12" s="19" t="s">
        <v>263</v>
      </c>
      <c r="C12" s="7"/>
      <c r="D12" s="19" t="s">
        <v>244</v>
      </c>
      <c r="E12" s="19" t="s">
        <v>61</v>
      </c>
      <c r="F12" s="19" t="s">
        <v>264</v>
      </c>
      <c r="G12" s="19" t="s">
        <v>45</v>
      </c>
      <c r="H12" s="17">
        <v>46311.0</v>
      </c>
      <c r="I12" s="17">
        <v>36.18</v>
      </c>
      <c r="J12" s="19" t="s">
        <v>1206</v>
      </c>
      <c r="K12" s="19" t="s">
        <v>51</v>
      </c>
      <c r="L12" s="17">
        <v>40766.0</v>
      </c>
      <c r="M12" s="17">
        <v>31.85</v>
      </c>
      <c r="N12" s="17">
        <v>5545.0</v>
      </c>
      <c r="O12" s="17">
        <v>4.33</v>
      </c>
      <c r="P12" s="17">
        <v>72.43</v>
      </c>
      <c r="Q12" s="17">
        <v>177849.0</v>
      </c>
      <c r="R12" s="7"/>
      <c r="S12" s="7"/>
    </row>
    <row r="13">
      <c r="A13" s="17">
        <v>10.0</v>
      </c>
      <c r="B13" s="19" t="s">
        <v>252</v>
      </c>
      <c r="C13" s="7"/>
      <c r="D13" s="19" t="s">
        <v>244</v>
      </c>
      <c r="E13" s="19" t="s">
        <v>61</v>
      </c>
      <c r="F13" s="19" t="s">
        <v>1207</v>
      </c>
      <c r="G13" s="19" t="s">
        <v>45</v>
      </c>
      <c r="H13" s="17">
        <v>52555.0</v>
      </c>
      <c r="I13" s="17">
        <v>36.69</v>
      </c>
      <c r="J13" s="19" t="s">
        <v>1208</v>
      </c>
      <c r="K13" s="19" t="s">
        <v>51</v>
      </c>
      <c r="L13" s="17">
        <v>52089.0</v>
      </c>
      <c r="M13" s="17">
        <v>36.36</v>
      </c>
      <c r="N13" s="17">
        <v>466.0</v>
      </c>
      <c r="O13" s="17">
        <v>0.33</v>
      </c>
      <c r="P13" s="17">
        <v>73.25</v>
      </c>
      <c r="Q13" s="17">
        <v>197081.0</v>
      </c>
      <c r="R13" s="7"/>
      <c r="S13" s="7"/>
    </row>
    <row r="14">
      <c r="A14" s="17">
        <v>11.0</v>
      </c>
      <c r="B14" s="19" t="s">
        <v>271</v>
      </c>
      <c r="C14" s="7"/>
      <c r="D14" s="19" t="s">
        <v>272</v>
      </c>
      <c r="E14" s="19" t="s">
        <v>61</v>
      </c>
      <c r="F14" s="19" t="s">
        <v>273</v>
      </c>
      <c r="G14" s="19" t="s">
        <v>32</v>
      </c>
      <c r="H14" s="17">
        <v>43555.0</v>
      </c>
      <c r="I14" s="17">
        <v>35.93</v>
      </c>
      <c r="J14" s="19" t="s">
        <v>1209</v>
      </c>
      <c r="K14" s="19" t="s">
        <v>51</v>
      </c>
      <c r="L14" s="17">
        <v>35712.0</v>
      </c>
      <c r="M14" s="17">
        <v>29.46</v>
      </c>
      <c r="N14" s="17">
        <v>7843.0</v>
      </c>
      <c r="O14" s="17">
        <v>6.47</v>
      </c>
      <c r="P14" s="17">
        <v>76.9</v>
      </c>
      <c r="Q14" s="17">
        <v>158691.0</v>
      </c>
      <c r="R14" s="7"/>
      <c r="S14" s="7"/>
    </row>
    <row r="15">
      <c r="A15" s="17">
        <v>12.0</v>
      </c>
      <c r="B15" s="19" t="s">
        <v>276</v>
      </c>
      <c r="C15" s="7"/>
      <c r="D15" s="19" t="s">
        <v>272</v>
      </c>
      <c r="E15" s="19" t="s">
        <v>61</v>
      </c>
      <c r="F15" s="19" t="s">
        <v>277</v>
      </c>
      <c r="G15" s="19" t="s">
        <v>45</v>
      </c>
      <c r="H15" s="17">
        <v>46872.0</v>
      </c>
      <c r="I15" s="17">
        <v>35.43</v>
      </c>
      <c r="J15" s="19" t="s">
        <v>1211</v>
      </c>
      <c r="K15" s="19" t="s">
        <v>51</v>
      </c>
      <c r="L15" s="17">
        <v>41398.0</v>
      </c>
      <c r="M15" s="17">
        <v>31.29</v>
      </c>
      <c r="N15" s="17">
        <v>5474.0</v>
      </c>
      <c r="O15" s="17">
        <v>4.14</v>
      </c>
      <c r="P15" s="17">
        <v>74.72</v>
      </c>
      <c r="Q15" s="17">
        <v>178829.0</v>
      </c>
      <c r="R15" s="7"/>
      <c r="S15" s="7"/>
    </row>
    <row r="16">
      <c r="A16" s="17">
        <v>13.0</v>
      </c>
      <c r="B16" s="19" t="s">
        <v>279</v>
      </c>
      <c r="C16" s="7"/>
      <c r="D16" s="19" t="s">
        <v>272</v>
      </c>
      <c r="E16" s="19" t="s">
        <v>61</v>
      </c>
      <c r="F16" s="19" t="s">
        <v>280</v>
      </c>
      <c r="G16" s="19" t="s">
        <v>51</v>
      </c>
      <c r="H16" s="17">
        <v>57027.0</v>
      </c>
      <c r="I16" s="17">
        <v>47.0</v>
      </c>
      <c r="J16" s="19" t="s">
        <v>1212</v>
      </c>
      <c r="K16" s="19" t="s">
        <v>32</v>
      </c>
      <c r="L16" s="17">
        <v>30965.0</v>
      </c>
      <c r="M16" s="17">
        <v>25.52</v>
      </c>
      <c r="N16" s="17">
        <v>26062.0</v>
      </c>
      <c r="O16" s="17">
        <v>21.48</v>
      </c>
      <c r="P16" s="17">
        <v>72.81</v>
      </c>
      <c r="Q16" s="17">
        <v>167775.0</v>
      </c>
      <c r="R16" s="7"/>
      <c r="S16" s="7"/>
    </row>
    <row r="17">
      <c r="A17" s="17">
        <v>14.0</v>
      </c>
      <c r="B17" s="19" t="s">
        <v>282</v>
      </c>
      <c r="C17" s="19" t="s">
        <v>1197</v>
      </c>
      <c r="D17" s="19" t="s">
        <v>272</v>
      </c>
      <c r="E17" s="19" t="s">
        <v>61</v>
      </c>
      <c r="F17" s="19" t="s">
        <v>285</v>
      </c>
      <c r="G17" s="19" t="s">
        <v>32</v>
      </c>
      <c r="H17" s="17">
        <v>59724.0</v>
      </c>
      <c r="I17" s="17">
        <v>46.75</v>
      </c>
      <c r="J17" s="19" t="s">
        <v>1213</v>
      </c>
      <c r="K17" s="19" t="s">
        <v>45</v>
      </c>
      <c r="L17" s="17">
        <v>34341.0</v>
      </c>
      <c r="M17" s="17">
        <v>26.88</v>
      </c>
      <c r="N17" s="17">
        <v>25383.0</v>
      </c>
      <c r="O17" s="17">
        <v>19.87</v>
      </c>
      <c r="P17" s="17">
        <v>70.61</v>
      </c>
      <c r="Q17" s="17">
        <v>182255.0</v>
      </c>
      <c r="R17" s="7"/>
      <c r="S17" s="7"/>
    </row>
    <row r="18">
      <c r="A18" s="17">
        <v>15.0</v>
      </c>
      <c r="B18" s="19" t="s">
        <v>300</v>
      </c>
      <c r="C18" s="7"/>
      <c r="D18" s="19" t="s">
        <v>272</v>
      </c>
      <c r="E18" s="19" t="s">
        <v>61</v>
      </c>
      <c r="F18" s="19" t="s">
        <v>301</v>
      </c>
      <c r="G18" s="19" t="s">
        <v>32</v>
      </c>
      <c r="H18" s="17">
        <v>58133.0</v>
      </c>
      <c r="I18" s="17">
        <v>47.28</v>
      </c>
      <c r="J18" s="19" t="s">
        <v>1214</v>
      </c>
      <c r="K18" s="19" t="s">
        <v>51</v>
      </c>
      <c r="L18" s="17">
        <v>29815.0</v>
      </c>
      <c r="M18" s="17">
        <v>24.25</v>
      </c>
      <c r="N18" s="17">
        <v>28318.0</v>
      </c>
      <c r="O18" s="17">
        <v>23.03</v>
      </c>
      <c r="P18" s="17">
        <v>61.16</v>
      </c>
      <c r="Q18" s="17">
        <v>202365.0</v>
      </c>
      <c r="R18" s="7"/>
      <c r="S18" s="7"/>
    </row>
    <row r="19">
      <c r="A19" s="17">
        <v>16.0</v>
      </c>
      <c r="B19" s="19" t="s">
        <v>314</v>
      </c>
      <c r="C19" s="19" t="s">
        <v>1197</v>
      </c>
      <c r="D19" s="19" t="s">
        <v>272</v>
      </c>
      <c r="E19" s="19" t="s">
        <v>61</v>
      </c>
      <c r="F19" s="19" t="s">
        <v>315</v>
      </c>
      <c r="G19" s="19" t="s">
        <v>32</v>
      </c>
      <c r="H19" s="17">
        <v>69251.0</v>
      </c>
      <c r="I19" s="17">
        <v>58.88</v>
      </c>
      <c r="J19" s="19" t="s">
        <v>1215</v>
      </c>
      <c r="K19" s="19" t="s">
        <v>45</v>
      </c>
      <c r="L19" s="17">
        <v>25338.0</v>
      </c>
      <c r="M19" s="17">
        <v>21.55</v>
      </c>
      <c r="N19" s="17">
        <v>43913.0</v>
      </c>
      <c r="O19" s="17">
        <v>37.33</v>
      </c>
      <c r="P19" s="17">
        <v>55.28</v>
      </c>
      <c r="Q19" s="17">
        <v>214566.0</v>
      </c>
      <c r="R19" s="7"/>
      <c r="S19" s="7"/>
    </row>
    <row r="20">
      <c r="A20" s="17">
        <v>17.0</v>
      </c>
      <c r="B20" s="19" t="s">
        <v>332</v>
      </c>
      <c r="C20" s="7"/>
      <c r="D20" s="19" t="s">
        <v>272</v>
      </c>
      <c r="E20" s="19" t="s">
        <v>61</v>
      </c>
      <c r="F20" s="19" t="s">
        <v>334</v>
      </c>
      <c r="G20" s="19" t="s">
        <v>32</v>
      </c>
      <c r="H20" s="17">
        <v>40837.0</v>
      </c>
      <c r="I20" s="17">
        <v>47.21</v>
      </c>
      <c r="J20" s="19" t="s">
        <v>1216</v>
      </c>
      <c r="K20" s="19" t="s">
        <v>45</v>
      </c>
      <c r="L20" s="17">
        <v>26811.0</v>
      </c>
      <c r="M20" s="17">
        <v>31.0</v>
      </c>
      <c r="N20" s="17">
        <v>14026.0</v>
      </c>
      <c r="O20" s="17">
        <v>16.21</v>
      </c>
      <c r="P20" s="17">
        <v>59.25</v>
      </c>
      <c r="Q20" s="17">
        <v>147190.0</v>
      </c>
      <c r="R20" s="7"/>
      <c r="S20" s="7"/>
    </row>
    <row r="21">
      <c r="A21" s="17">
        <v>18.0</v>
      </c>
      <c r="B21" s="19" t="s">
        <v>262</v>
      </c>
      <c r="C21" s="7"/>
      <c r="D21" s="19" t="s">
        <v>272</v>
      </c>
      <c r="E21" s="19" t="s">
        <v>61</v>
      </c>
      <c r="F21" s="19" t="s">
        <v>356</v>
      </c>
      <c r="G21" s="19" t="s">
        <v>32</v>
      </c>
      <c r="H21" s="17">
        <v>39679.0</v>
      </c>
      <c r="I21" s="17">
        <v>36.98</v>
      </c>
      <c r="J21" s="19" t="s">
        <v>1217</v>
      </c>
      <c r="K21" s="19" t="s">
        <v>45</v>
      </c>
      <c r="L21" s="17">
        <v>32929.0</v>
      </c>
      <c r="M21" s="17">
        <v>30.69</v>
      </c>
      <c r="N21" s="17">
        <v>6750.0</v>
      </c>
      <c r="O21" s="17">
        <v>6.29</v>
      </c>
      <c r="P21" s="17">
        <v>64.17</v>
      </c>
      <c r="Q21" s="17">
        <v>168300.0</v>
      </c>
      <c r="R21" s="7"/>
      <c r="S21" s="7"/>
    </row>
    <row r="22">
      <c r="A22" s="17">
        <v>19.0</v>
      </c>
      <c r="B22" s="19" t="s">
        <v>396</v>
      </c>
      <c r="C22" s="7"/>
      <c r="D22" s="19" t="s">
        <v>272</v>
      </c>
      <c r="E22" s="19" t="s">
        <v>61</v>
      </c>
      <c r="F22" s="19" t="s">
        <v>397</v>
      </c>
      <c r="G22" s="19" t="s">
        <v>32</v>
      </c>
      <c r="H22" s="17">
        <v>53053.0</v>
      </c>
      <c r="I22" s="17">
        <v>50.41</v>
      </c>
      <c r="J22" s="19" t="s">
        <v>1218</v>
      </c>
      <c r="K22" s="19" t="s">
        <v>51</v>
      </c>
      <c r="L22" s="17">
        <v>25550.0</v>
      </c>
      <c r="M22" s="17">
        <v>24.28</v>
      </c>
      <c r="N22" s="17">
        <v>27503.0</v>
      </c>
      <c r="O22" s="17">
        <v>26.13</v>
      </c>
      <c r="P22" s="17">
        <v>59.58</v>
      </c>
      <c r="Q22" s="17">
        <v>177731.0</v>
      </c>
      <c r="R22" s="7"/>
      <c r="S22" s="7"/>
    </row>
    <row r="23">
      <c r="A23" s="17">
        <v>20.0</v>
      </c>
      <c r="B23" s="19" t="s">
        <v>398</v>
      </c>
      <c r="C23" s="19" t="s">
        <v>1197</v>
      </c>
      <c r="D23" s="19" t="s">
        <v>272</v>
      </c>
      <c r="E23" s="19" t="s">
        <v>61</v>
      </c>
      <c r="F23" s="19" t="s">
        <v>399</v>
      </c>
      <c r="G23" s="19" t="s">
        <v>32</v>
      </c>
      <c r="H23" s="17">
        <v>56798.0</v>
      </c>
      <c r="I23" s="17">
        <v>44.81</v>
      </c>
      <c r="J23" s="19" t="s">
        <v>1219</v>
      </c>
      <c r="K23" s="19" t="s">
        <v>51</v>
      </c>
      <c r="L23" s="17">
        <v>37004.0</v>
      </c>
      <c r="M23" s="17">
        <v>29.2</v>
      </c>
      <c r="N23" s="17">
        <v>19794.0</v>
      </c>
      <c r="O23" s="17">
        <v>15.61</v>
      </c>
      <c r="P23" s="17">
        <v>67.26</v>
      </c>
      <c r="Q23" s="17">
        <v>190537.0</v>
      </c>
      <c r="R23" s="7"/>
      <c r="S23" s="7"/>
    </row>
    <row r="24">
      <c r="A24" s="17">
        <v>21.0</v>
      </c>
      <c r="B24" s="19" t="s">
        <v>400</v>
      </c>
      <c r="C24" s="7"/>
      <c r="D24" s="19" t="s">
        <v>400</v>
      </c>
      <c r="E24" s="19" t="s">
        <v>61</v>
      </c>
      <c r="F24" s="19" t="s">
        <v>1220</v>
      </c>
      <c r="G24" s="19" t="s">
        <v>32</v>
      </c>
      <c r="H24" s="17">
        <v>52935.0</v>
      </c>
      <c r="I24" s="17">
        <v>40.81</v>
      </c>
      <c r="J24" s="19" t="s">
        <v>401</v>
      </c>
      <c r="K24" s="19" t="s">
        <v>51</v>
      </c>
      <c r="L24" s="17">
        <v>39347.0</v>
      </c>
      <c r="M24" s="17">
        <v>30.33</v>
      </c>
      <c r="N24" s="17">
        <v>13588.0</v>
      </c>
      <c r="O24" s="17">
        <v>10.48</v>
      </c>
      <c r="P24" s="17">
        <v>65.95</v>
      </c>
      <c r="Q24" s="17">
        <v>198446.0</v>
      </c>
      <c r="R24" s="7"/>
      <c r="S24" s="7"/>
    </row>
    <row r="25">
      <c r="A25" s="17">
        <v>22.0</v>
      </c>
      <c r="B25" s="19" t="s">
        <v>402</v>
      </c>
      <c r="C25" s="7"/>
      <c r="D25" s="19" t="s">
        <v>400</v>
      </c>
      <c r="E25" s="19" t="s">
        <v>61</v>
      </c>
      <c r="F25" s="19" t="s">
        <v>403</v>
      </c>
      <c r="G25" s="19" t="s">
        <v>32</v>
      </c>
      <c r="H25" s="17">
        <v>64541.0</v>
      </c>
      <c r="I25" s="17">
        <v>42.14</v>
      </c>
      <c r="J25" s="19" t="s">
        <v>1221</v>
      </c>
      <c r="K25" s="19" t="s">
        <v>51</v>
      </c>
      <c r="L25" s="17">
        <v>52659.0</v>
      </c>
      <c r="M25" s="17">
        <v>34.38</v>
      </c>
      <c r="N25" s="17">
        <v>11882.0</v>
      </c>
      <c r="O25" s="17">
        <v>7.76</v>
      </c>
      <c r="P25" s="17">
        <v>71.08</v>
      </c>
      <c r="Q25" s="17">
        <v>218055.0</v>
      </c>
      <c r="R25" s="7"/>
      <c r="S25" s="7"/>
    </row>
    <row r="26">
      <c r="A26" s="17">
        <v>23.0</v>
      </c>
      <c r="B26" s="19" t="s">
        <v>404</v>
      </c>
      <c r="C26" s="7"/>
      <c r="D26" s="19" t="s">
        <v>400</v>
      </c>
      <c r="E26" s="19" t="s">
        <v>61</v>
      </c>
      <c r="F26" s="19" t="s">
        <v>405</v>
      </c>
      <c r="G26" s="19" t="s">
        <v>32</v>
      </c>
      <c r="H26" s="17">
        <v>57323.0</v>
      </c>
      <c r="I26" s="17">
        <v>39.85</v>
      </c>
      <c r="J26" s="19" t="s">
        <v>1222</v>
      </c>
      <c r="K26" s="19" t="s">
        <v>51</v>
      </c>
      <c r="L26" s="17">
        <v>46324.0</v>
      </c>
      <c r="M26" s="17">
        <v>32.2</v>
      </c>
      <c r="N26" s="17">
        <v>10999.0</v>
      </c>
      <c r="O26" s="17">
        <v>7.65</v>
      </c>
      <c r="P26" s="17">
        <v>70.9</v>
      </c>
      <c r="Q26" s="17">
        <v>204405.0</v>
      </c>
      <c r="R26" s="7"/>
      <c r="S26" s="7"/>
    </row>
    <row r="27">
      <c r="A27" s="17">
        <v>24.0</v>
      </c>
      <c r="B27" s="19" t="s">
        <v>406</v>
      </c>
      <c r="C27" s="7"/>
      <c r="D27" s="19" t="s">
        <v>400</v>
      </c>
      <c r="E27" s="19" t="s">
        <v>61</v>
      </c>
      <c r="F27" s="19" t="s">
        <v>407</v>
      </c>
      <c r="G27" s="19" t="s">
        <v>32</v>
      </c>
      <c r="H27" s="17">
        <v>55756.0</v>
      </c>
      <c r="I27" s="17">
        <v>38.67</v>
      </c>
      <c r="J27" s="19" t="s">
        <v>1223</v>
      </c>
      <c r="K27" s="19" t="s">
        <v>45</v>
      </c>
      <c r="L27" s="17">
        <v>39265.0</v>
      </c>
      <c r="M27" s="17">
        <v>27.23</v>
      </c>
      <c r="N27" s="17">
        <v>16491.0</v>
      </c>
      <c r="O27" s="17">
        <v>11.44</v>
      </c>
      <c r="P27" s="17">
        <v>71.37</v>
      </c>
      <c r="Q27" s="17">
        <v>203539.0</v>
      </c>
      <c r="R27" s="7"/>
      <c r="S27" s="7"/>
    </row>
    <row r="28">
      <c r="A28" s="17">
        <v>25.0</v>
      </c>
      <c r="B28" s="19" t="s">
        <v>408</v>
      </c>
      <c r="C28" s="19" t="s">
        <v>1197</v>
      </c>
      <c r="D28" s="19" t="s">
        <v>272</v>
      </c>
      <c r="E28" s="19" t="s">
        <v>61</v>
      </c>
      <c r="F28" s="19" t="s">
        <v>409</v>
      </c>
      <c r="G28" s="19" t="s">
        <v>32</v>
      </c>
      <c r="H28" s="17">
        <v>52468.0</v>
      </c>
      <c r="I28" s="17">
        <v>40.27</v>
      </c>
      <c r="J28" s="19" t="s">
        <v>1225</v>
      </c>
      <c r="K28" s="19" t="s">
        <v>45</v>
      </c>
      <c r="L28" s="17">
        <v>32916.0</v>
      </c>
      <c r="M28" s="17">
        <v>25.27</v>
      </c>
      <c r="N28" s="17">
        <v>19552.0</v>
      </c>
      <c r="O28" s="17">
        <v>15.0</v>
      </c>
      <c r="P28" s="17">
        <v>65.03</v>
      </c>
      <c r="Q28" s="17">
        <v>201831.0</v>
      </c>
      <c r="R28" s="7"/>
      <c r="S28" s="7"/>
    </row>
    <row r="29">
      <c r="A29" s="17">
        <v>26.0</v>
      </c>
      <c r="B29" s="19" t="s">
        <v>410</v>
      </c>
      <c r="C29" s="7"/>
      <c r="D29" s="19" t="s">
        <v>411</v>
      </c>
      <c r="E29" s="19" t="s">
        <v>127</v>
      </c>
      <c r="F29" s="19" t="s">
        <v>412</v>
      </c>
      <c r="G29" s="19" t="s">
        <v>45</v>
      </c>
      <c r="H29" s="17">
        <v>37254.0</v>
      </c>
      <c r="I29" s="17">
        <v>41.48</v>
      </c>
      <c r="J29" s="19" t="s">
        <v>1226</v>
      </c>
      <c r="K29" s="19" t="s">
        <v>51</v>
      </c>
      <c r="L29" s="17">
        <v>28029.0</v>
      </c>
      <c r="M29" s="17">
        <v>31.21</v>
      </c>
      <c r="N29" s="17">
        <v>9225.0</v>
      </c>
      <c r="O29" s="17">
        <v>10.27</v>
      </c>
      <c r="P29" s="17">
        <v>66.14</v>
      </c>
      <c r="Q29" s="17">
        <v>136892.0</v>
      </c>
      <c r="R29" s="7"/>
      <c r="S29" s="7"/>
    </row>
    <row r="30">
      <c r="A30" s="17">
        <v>27.0</v>
      </c>
      <c r="B30" s="19" t="s">
        <v>411</v>
      </c>
      <c r="C30" s="7"/>
      <c r="D30" s="19" t="s">
        <v>411</v>
      </c>
      <c r="E30" s="19" t="s">
        <v>127</v>
      </c>
      <c r="F30" s="19" t="s">
        <v>423</v>
      </c>
      <c r="G30" s="19" t="s">
        <v>45</v>
      </c>
      <c r="H30" s="17">
        <v>44096.0</v>
      </c>
      <c r="I30" s="17">
        <v>43.2</v>
      </c>
      <c r="J30" s="19" t="s">
        <v>1227</v>
      </c>
      <c r="K30" s="19" t="s">
        <v>32</v>
      </c>
      <c r="L30" s="17">
        <v>36792.0</v>
      </c>
      <c r="M30" s="17">
        <v>36.04</v>
      </c>
      <c r="N30" s="17">
        <v>7304.0</v>
      </c>
      <c r="O30" s="17">
        <v>7.16</v>
      </c>
      <c r="P30" s="17">
        <v>68.42</v>
      </c>
      <c r="Q30" s="17">
        <v>150129.0</v>
      </c>
      <c r="R30" s="7"/>
      <c r="S30" s="7"/>
    </row>
    <row r="31">
      <c r="A31" s="17">
        <v>28.0</v>
      </c>
      <c r="B31" s="19" t="s">
        <v>426</v>
      </c>
      <c r="C31" s="7"/>
      <c r="D31" s="19" t="s">
        <v>411</v>
      </c>
      <c r="E31" s="19" t="s">
        <v>127</v>
      </c>
      <c r="F31" s="19" t="s">
        <v>427</v>
      </c>
      <c r="G31" s="19" t="s">
        <v>1228</v>
      </c>
      <c r="H31" s="17">
        <v>41337.0</v>
      </c>
      <c r="I31" s="17">
        <v>38.5</v>
      </c>
      <c r="J31" s="19" t="s">
        <v>1229</v>
      </c>
      <c r="K31" s="19" t="s">
        <v>32</v>
      </c>
      <c r="L31" s="17">
        <v>29903.0</v>
      </c>
      <c r="M31" s="17">
        <v>27.85</v>
      </c>
      <c r="N31" s="17">
        <v>11434.0</v>
      </c>
      <c r="O31" s="17">
        <v>10.65</v>
      </c>
      <c r="P31" s="17">
        <v>72.8</v>
      </c>
      <c r="Q31" s="17">
        <v>148501.0</v>
      </c>
      <c r="R31" s="7"/>
      <c r="S31" s="7"/>
    </row>
    <row r="32">
      <c r="A32" s="17">
        <v>29.0</v>
      </c>
      <c r="B32" s="19" t="s">
        <v>248</v>
      </c>
      <c r="C32" s="19" t="s">
        <v>1197</v>
      </c>
      <c r="D32" s="19" t="s">
        <v>411</v>
      </c>
      <c r="E32" s="19" t="s">
        <v>127</v>
      </c>
      <c r="F32" s="19" t="s">
        <v>430</v>
      </c>
      <c r="G32" s="19" t="s">
        <v>45</v>
      </c>
      <c r="H32" s="17">
        <v>37217.0</v>
      </c>
      <c r="I32" s="17">
        <v>29.32</v>
      </c>
      <c r="J32" s="19" t="s">
        <v>1230</v>
      </c>
      <c r="K32" s="19" t="s">
        <v>32</v>
      </c>
      <c r="L32" s="17">
        <v>34505.0</v>
      </c>
      <c r="M32" s="17">
        <v>27.18</v>
      </c>
      <c r="N32" s="17">
        <v>2712.0</v>
      </c>
      <c r="O32" s="17">
        <v>2.14</v>
      </c>
      <c r="P32" s="17">
        <v>66.28</v>
      </c>
      <c r="Q32" s="17">
        <v>193076.0</v>
      </c>
      <c r="R32" s="7"/>
      <c r="S32" s="7"/>
    </row>
    <row r="33">
      <c r="A33" s="17">
        <v>30.0</v>
      </c>
      <c r="B33" s="19" t="s">
        <v>433</v>
      </c>
      <c r="C33" s="19" t="s">
        <v>1197</v>
      </c>
      <c r="D33" s="19" t="s">
        <v>436</v>
      </c>
      <c r="E33" s="19" t="s">
        <v>127</v>
      </c>
      <c r="F33" s="19" t="s">
        <v>437</v>
      </c>
      <c r="G33" s="19" t="s">
        <v>45</v>
      </c>
      <c r="H33" s="17">
        <v>48288.0</v>
      </c>
      <c r="I33" s="17">
        <v>34.75</v>
      </c>
      <c r="J33" s="19" t="s">
        <v>1231</v>
      </c>
      <c r="K33" s="19" t="s">
        <v>51</v>
      </c>
      <c r="L33" s="17">
        <v>35985.0</v>
      </c>
      <c r="M33" s="17">
        <v>25.9</v>
      </c>
      <c r="N33" s="17">
        <v>12303.0</v>
      </c>
      <c r="O33" s="17">
        <v>8.85</v>
      </c>
      <c r="P33" s="17">
        <v>67.51</v>
      </c>
      <c r="Q33" s="17">
        <v>207226.0</v>
      </c>
      <c r="R33" s="7"/>
      <c r="S33" s="7"/>
    </row>
    <row r="34">
      <c r="A34" s="17">
        <v>31.0</v>
      </c>
      <c r="B34" s="19" t="s">
        <v>235</v>
      </c>
      <c r="C34" s="7"/>
      <c r="D34" s="19" t="s">
        <v>436</v>
      </c>
      <c r="E34" s="19" t="s">
        <v>127</v>
      </c>
      <c r="F34" s="19" t="s">
        <v>442</v>
      </c>
      <c r="G34" s="19" t="s">
        <v>32</v>
      </c>
      <c r="H34" s="17">
        <v>42868.0</v>
      </c>
      <c r="I34" s="17">
        <v>32.21</v>
      </c>
      <c r="J34" s="19" t="s">
        <v>1232</v>
      </c>
      <c r="K34" s="19" t="s">
        <v>51</v>
      </c>
      <c r="L34" s="17">
        <v>39999.0</v>
      </c>
      <c r="M34" s="17">
        <v>30.05</v>
      </c>
      <c r="N34" s="17">
        <v>2869.0</v>
      </c>
      <c r="O34" s="17">
        <v>2.16</v>
      </c>
      <c r="P34" s="17">
        <v>68.83</v>
      </c>
      <c r="Q34" s="17">
        <v>194933.0</v>
      </c>
      <c r="R34" s="7"/>
      <c r="S34" s="7"/>
    </row>
    <row r="35">
      <c r="A35" s="17">
        <v>32.0</v>
      </c>
      <c r="B35" s="19" t="s">
        <v>444</v>
      </c>
      <c r="C35" s="7"/>
      <c r="D35" s="19" t="s">
        <v>436</v>
      </c>
      <c r="E35" s="19" t="s">
        <v>127</v>
      </c>
      <c r="F35" s="19" t="s">
        <v>445</v>
      </c>
      <c r="G35" s="19" t="s">
        <v>45</v>
      </c>
      <c r="H35" s="17">
        <v>51661.0</v>
      </c>
      <c r="I35" s="17">
        <v>39.24</v>
      </c>
      <c r="J35" s="19" t="s">
        <v>1233</v>
      </c>
      <c r="K35" s="19" t="s">
        <v>51</v>
      </c>
      <c r="L35" s="17">
        <v>39582.0</v>
      </c>
      <c r="M35" s="17">
        <v>30.06</v>
      </c>
      <c r="N35" s="17">
        <v>12079.0</v>
      </c>
      <c r="O35" s="17">
        <v>9.18</v>
      </c>
      <c r="P35" s="17">
        <v>72.77</v>
      </c>
      <c r="Q35" s="17">
        <v>182103.0</v>
      </c>
      <c r="R35" s="7"/>
      <c r="S35" s="7"/>
    </row>
    <row r="36">
      <c r="A36" s="17">
        <v>33.0</v>
      </c>
      <c r="B36" s="19" t="s">
        <v>267</v>
      </c>
      <c r="C36" s="19" t="s">
        <v>1197</v>
      </c>
      <c r="D36" s="19" t="s">
        <v>436</v>
      </c>
      <c r="E36" s="19" t="s">
        <v>127</v>
      </c>
      <c r="F36" s="19" t="s">
        <v>447</v>
      </c>
      <c r="G36" s="19" t="s">
        <v>32</v>
      </c>
      <c r="H36" s="17">
        <v>41830.0</v>
      </c>
      <c r="I36" s="17">
        <v>33.77</v>
      </c>
      <c r="J36" s="19" t="s">
        <v>1234</v>
      </c>
      <c r="K36" s="19" t="s">
        <v>45</v>
      </c>
      <c r="L36" s="17">
        <v>37256.0</v>
      </c>
      <c r="M36" s="17">
        <v>30.08</v>
      </c>
      <c r="N36" s="17">
        <v>4574.0</v>
      </c>
      <c r="O36" s="17">
        <v>3.69</v>
      </c>
      <c r="P36" s="17">
        <v>67.65</v>
      </c>
      <c r="Q36" s="17">
        <v>184762.0</v>
      </c>
      <c r="R36" s="7"/>
      <c r="S36" s="7"/>
    </row>
    <row r="37">
      <c r="A37" s="17">
        <v>34.0</v>
      </c>
      <c r="B37" s="19" t="s">
        <v>274</v>
      </c>
      <c r="C37" s="19" t="s">
        <v>1197</v>
      </c>
      <c r="D37" s="19" t="s">
        <v>436</v>
      </c>
      <c r="E37" s="19" t="s">
        <v>127</v>
      </c>
      <c r="F37" s="19" t="s">
        <v>448</v>
      </c>
      <c r="G37" s="19" t="s">
        <v>32</v>
      </c>
      <c r="H37" s="17">
        <v>39213.0</v>
      </c>
      <c r="I37" s="17">
        <v>34.0</v>
      </c>
      <c r="J37" s="19" t="s">
        <v>1235</v>
      </c>
      <c r="K37" s="19" t="s">
        <v>45</v>
      </c>
      <c r="L37" s="17">
        <v>34960.0</v>
      </c>
      <c r="M37" s="17">
        <v>30.31</v>
      </c>
      <c r="N37" s="17">
        <v>4253.0</v>
      </c>
      <c r="O37" s="17">
        <v>3.69</v>
      </c>
      <c r="P37" s="17">
        <v>67.71</v>
      </c>
      <c r="Q37" s="17">
        <v>171691.0</v>
      </c>
      <c r="R37" s="7"/>
      <c r="S37" s="7"/>
    </row>
    <row r="38">
      <c r="A38" s="17">
        <v>35.0</v>
      </c>
      <c r="B38" s="19" t="s">
        <v>215</v>
      </c>
      <c r="C38" s="7"/>
      <c r="D38" s="19" t="s">
        <v>436</v>
      </c>
      <c r="E38" s="19" t="s">
        <v>127</v>
      </c>
      <c r="F38" s="19" t="s">
        <v>449</v>
      </c>
      <c r="G38" s="19" t="s">
        <v>32</v>
      </c>
      <c r="H38" s="17">
        <v>33011.0</v>
      </c>
      <c r="I38" s="17">
        <v>31.26</v>
      </c>
      <c r="J38" s="19" t="s">
        <v>1236</v>
      </c>
      <c r="K38" s="19" t="s">
        <v>45</v>
      </c>
      <c r="L38" s="17">
        <v>32764.0</v>
      </c>
      <c r="M38" s="17">
        <v>31.03</v>
      </c>
      <c r="N38" s="17">
        <v>247.0</v>
      </c>
      <c r="O38" s="17">
        <v>0.23</v>
      </c>
      <c r="P38" s="17">
        <v>61.14</v>
      </c>
      <c r="Q38" s="17">
        <v>174292.0</v>
      </c>
      <c r="R38" s="7"/>
      <c r="S38" s="7"/>
    </row>
    <row r="39">
      <c r="A39" s="17">
        <v>36.0</v>
      </c>
      <c r="B39" s="19" t="s">
        <v>451</v>
      </c>
      <c r="C39" s="7"/>
      <c r="D39" s="19" t="s">
        <v>436</v>
      </c>
      <c r="E39" s="19" t="s">
        <v>127</v>
      </c>
      <c r="F39" s="19" t="s">
        <v>452</v>
      </c>
      <c r="G39" s="19" t="s">
        <v>45</v>
      </c>
      <c r="H39" s="17">
        <v>47338.0</v>
      </c>
      <c r="I39" s="17">
        <v>37.21</v>
      </c>
      <c r="J39" s="19" t="s">
        <v>1237</v>
      </c>
      <c r="K39" s="19" t="s">
        <v>53</v>
      </c>
      <c r="L39" s="17">
        <v>37852.0</v>
      </c>
      <c r="M39" s="17">
        <v>29.75</v>
      </c>
      <c r="N39" s="17">
        <v>9486.0</v>
      </c>
      <c r="O39" s="17">
        <v>7.46</v>
      </c>
      <c r="P39" s="17">
        <v>66.69</v>
      </c>
      <c r="Q39" s="17">
        <v>192161.0</v>
      </c>
      <c r="R39" s="7"/>
      <c r="S39" s="7"/>
    </row>
    <row r="40">
      <c r="A40" s="17">
        <v>37.0</v>
      </c>
      <c r="B40" s="19" t="s">
        <v>453</v>
      </c>
      <c r="C40" s="7"/>
      <c r="D40" s="19" t="s">
        <v>436</v>
      </c>
      <c r="E40" s="19" t="s">
        <v>127</v>
      </c>
      <c r="F40" s="19" t="s">
        <v>454</v>
      </c>
      <c r="G40" s="19" t="s">
        <v>45</v>
      </c>
      <c r="H40" s="17">
        <v>40816.0</v>
      </c>
      <c r="I40" s="17">
        <v>32.88</v>
      </c>
      <c r="J40" s="19" t="s">
        <v>1238</v>
      </c>
      <c r="K40" s="19" t="s">
        <v>32</v>
      </c>
      <c r="L40" s="17">
        <v>35008.0</v>
      </c>
      <c r="M40" s="17">
        <v>28.2</v>
      </c>
      <c r="N40" s="17">
        <v>5808.0</v>
      </c>
      <c r="O40" s="17">
        <v>4.68</v>
      </c>
      <c r="P40" s="17">
        <v>64.48</v>
      </c>
      <c r="Q40" s="17">
        <v>193992.0</v>
      </c>
      <c r="R40" s="7"/>
      <c r="S40" s="7"/>
    </row>
    <row r="41">
      <c r="A41" s="17">
        <v>38.0</v>
      </c>
      <c r="B41" s="19" t="s">
        <v>456</v>
      </c>
      <c r="C41" s="19" t="s">
        <v>1197</v>
      </c>
      <c r="D41" s="19" t="s">
        <v>436</v>
      </c>
      <c r="E41" s="19" t="s">
        <v>127</v>
      </c>
      <c r="F41" s="19" t="s">
        <v>457</v>
      </c>
      <c r="G41" s="19" t="s">
        <v>45</v>
      </c>
      <c r="H41" s="17">
        <v>39554.0</v>
      </c>
      <c r="I41" s="17">
        <v>35.13</v>
      </c>
      <c r="J41" s="19" t="s">
        <v>1240</v>
      </c>
      <c r="K41" s="19" t="s">
        <v>51</v>
      </c>
      <c r="L41" s="17">
        <v>34987.0</v>
      </c>
      <c r="M41" s="17">
        <v>31.07</v>
      </c>
      <c r="N41" s="17">
        <v>4567.0</v>
      </c>
      <c r="O41" s="17">
        <v>4.06</v>
      </c>
      <c r="P41" s="17">
        <v>67.74</v>
      </c>
      <c r="Q41" s="17">
        <v>167938.0</v>
      </c>
      <c r="R41" s="7"/>
      <c r="S41" s="7"/>
    </row>
    <row r="42">
      <c r="A42" s="17">
        <v>39.0</v>
      </c>
      <c r="B42" s="19" t="s">
        <v>458</v>
      </c>
      <c r="C42" s="7"/>
      <c r="D42" s="19" t="s">
        <v>459</v>
      </c>
      <c r="E42" s="19" t="s">
        <v>127</v>
      </c>
      <c r="F42" s="19" t="s">
        <v>460</v>
      </c>
      <c r="G42" s="19" t="s">
        <v>53</v>
      </c>
      <c r="H42" s="17">
        <v>41044.0</v>
      </c>
      <c r="I42" s="17">
        <v>28.81</v>
      </c>
      <c r="J42" s="19" t="s">
        <v>1241</v>
      </c>
      <c r="K42" s="19" t="s">
        <v>32</v>
      </c>
      <c r="L42" s="17">
        <v>38353.0</v>
      </c>
      <c r="M42" s="17">
        <v>26.92</v>
      </c>
      <c r="N42" s="17">
        <v>2691.0</v>
      </c>
      <c r="O42" s="17">
        <v>1.89</v>
      </c>
      <c r="P42" s="17">
        <v>68.87</v>
      </c>
      <c r="Q42" s="17">
        <v>208070.0</v>
      </c>
      <c r="R42" s="7"/>
      <c r="S42" s="7"/>
    </row>
    <row r="43">
      <c r="A43" s="17">
        <v>40.0</v>
      </c>
      <c r="B43" s="19" t="s">
        <v>461</v>
      </c>
      <c r="C43" s="7"/>
      <c r="D43" s="19" t="s">
        <v>459</v>
      </c>
      <c r="E43" s="19" t="s">
        <v>127</v>
      </c>
      <c r="F43" s="19" t="s">
        <v>463</v>
      </c>
      <c r="G43" s="19" t="s">
        <v>32</v>
      </c>
      <c r="H43" s="17">
        <v>43272.0</v>
      </c>
      <c r="I43" s="17">
        <v>32.63</v>
      </c>
      <c r="J43" s="19" t="s">
        <v>1242</v>
      </c>
      <c r="K43" s="19" t="s">
        <v>45</v>
      </c>
      <c r="L43" s="17">
        <v>34685.0</v>
      </c>
      <c r="M43" s="17">
        <v>26.16</v>
      </c>
      <c r="N43" s="17">
        <v>8587.0</v>
      </c>
      <c r="O43" s="17">
        <v>6.47</v>
      </c>
      <c r="P43" s="17">
        <v>66.27</v>
      </c>
      <c r="Q43" s="17">
        <v>201374.0</v>
      </c>
      <c r="R43" s="7"/>
      <c r="S43" s="7"/>
    </row>
    <row r="44">
      <c r="A44" s="17">
        <v>41.0</v>
      </c>
      <c r="B44" s="19" t="s">
        <v>275</v>
      </c>
      <c r="C44" s="7"/>
      <c r="D44" s="19" t="s">
        <v>459</v>
      </c>
      <c r="E44" s="19" t="s">
        <v>127</v>
      </c>
      <c r="F44" s="19" t="s">
        <v>468</v>
      </c>
      <c r="G44" s="19" t="s">
        <v>32</v>
      </c>
      <c r="H44" s="17">
        <v>42576.0</v>
      </c>
      <c r="I44" s="17">
        <v>34.25</v>
      </c>
      <c r="J44" s="19" t="s">
        <v>1243</v>
      </c>
      <c r="K44" s="19" t="s">
        <v>45</v>
      </c>
      <c r="L44" s="17">
        <v>38386.0</v>
      </c>
      <c r="M44" s="17">
        <v>30.88</v>
      </c>
      <c r="N44" s="17">
        <v>4190.0</v>
      </c>
      <c r="O44" s="17">
        <v>3.37</v>
      </c>
      <c r="P44" s="17">
        <v>68.4</v>
      </c>
      <c r="Q44" s="17">
        <v>183066.0</v>
      </c>
      <c r="R44" s="7"/>
      <c r="S44" s="7"/>
    </row>
    <row r="45">
      <c r="A45" s="17">
        <v>42.0</v>
      </c>
      <c r="B45" s="19" t="s">
        <v>462</v>
      </c>
      <c r="C45" s="19" t="s">
        <v>1197</v>
      </c>
      <c r="D45" s="19" t="s">
        <v>459</v>
      </c>
      <c r="E45" s="19" t="s">
        <v>127</v>
      </c>
      <c r="F45" s="19" t="s">
        <v>474</v>
      </c>
      <c r="G45" s="19" t="s">
        <v>32</v>
      </c>
      <c r="H45" s="17">
        <v>60730.0</v>
      </c>
      <c r="I45" s="17">
        <v>49.4</v>
      </c>
      <c r="J45" s="19" t="s">
        <v>1244</v>
      </c>
      <c r="K45" s="19" t="s">
        <v>45</v>
      </c>
      <c r="L45" s="17">
        <v>39374.0</v>
      </c>
      <c r="M45" s="17">
        <v>32.03</v>
      </c>
      <c r="N45" s="17">
        <v>21356.0</v>
      </c>
      <c r="O45" s="17">
        <v>17.37</v>
      </c>
      <c r="P45" s="17">
        <v>69.32</v>
      </c>
      <c r="Q45" s="17">
        <v>178919.0</v>
      </c>
      <c r="R45" s="7"/>
      <c r="S45" s="7"/>
    </row>
    <row r="46">
      <c r="A46" s="17">
        <v>43.0</v>
      </c>
      <c r="B46" s="19" t="s">
        <v>459</v>
      </c>
      <c r="C46" s="7"/>
      <c r="D46" s="19" t="s">
        <v>459</v>
      </c>
      <c r="E46" s="19" t="s">
        <v>127</v>
      </c>
      <c r="F46" s="19" t="s">
        <v>480</v>
      </c>
      <c r="G46" s="19" t="s">
        <v>32</v>
      </c>
      <c r="H46" s="17">
        <v>51112.0</v>
      </c>
      <c r="I46" s="17">
        <v>40.32</v>
      </c>
      <c r="J46" s="19" t="s">
        <v>1245</v>
      </c>
      <c r="K46" s="19" t="s">
        <v>45</v>
      </c>
      <c r="L46" s="17">
        <v>37253.0</v>
      </c>
      <c r="M46" s="17">
        <v>29.39</v>
      </c>
      <c r="N46" s="17">
        <v>13859.0</v>
      </c>
      <c r="O46" s="17">
        <v>10.93</v>
      </c>
      <c r="P46" s="17">
        <v>66.19</v>
      </c>
      <c r="Q46" s="17">
        <v>193247.0</v>
      </c>
      <c r="R46" s="7"/>
      <c r="S46" s="7"/>
    </row>
    <row r="47">
      <c r="A47" s="17">
        <v>44.0</v>
      </c>
      <c r="B47" s="19" t="s">
        <v>247</v>
      </c>
      <c r="C47" s="19" t="s">
        <v>1197</v>
      </c>
      <c r="D47" s="19" t="s">
        <v>459</v>
      </c>
      <c r="E47" s="19" t="s">
        <v>127</v>
      </c>
      <c r="F47" s="19" t="s">
        <v>1246</v>
      </c>
      <c r="G47" s="19" t="s">
        <v>45</v>
      </c>
      <c r="H47" s="17">
        <v>47375.0</v>
      </c>
      <c r="I47" s="17">
        <v>41.37</v>
      </c>
      <c r="J47" s="19" t="s">
        <v>1247</v>
      </c>
      <c r="K47" s="19" t="s">
        <v>32</v>
      </c>
      <c r="L47" s="17">
        <v>39729.0</v>
      </c>
      <c r="M47" s="17">
        <v>34.69</v>
      </c>
      <c r="N47" s="17">
        <v>7646.0</v>
      </c>
      <c r="O47" s="17">
        <v>6.68</v>
      </c>
      <c r="P47" s="17">
        <v>71.22</v>
      </c>
      <c r="Q47" s="17">
        <v>162191.0</v>
      </c>
      <c r="R47" s="7"/>
      <c r="S47" s="7"/>
    </row>
    <row r="48">
      <c r="A48" s="17">
        <v>45.0</v>
      </c>
      <c r="B48" s="19" t="s">
        <v>465</v>
      </c>
      <c r="C48" s="7"/>
      <c r="D48" s="19" t="s">
        <v>459</v>
      </c>
      <c r="E48" s="19" t="s">
        <v>127</v>
      </c>
      <c r="F48" s="19" t="s">
        <v>492</v>
      </c>
      <c r="G48" s="19" t="s">
        <v>32</v>
      </c>
      <c r="H48" s="17">
        <v>32341.0</v>
      </c>
      <c r="I48" s="17">
        <v>26.64</v>
      </c>
      <c r="J48" s="19" t="s">
        <v>1248</v>
      </c>
      <c r="K48" s="19" t="s">
        <v>45</v>
      </c>
      <c r="L48" s="17">
        <v>28162.0</v>
      </c>
      <c r="M48" s="17">
        <v>23.2</v>
      </c>
      <c r="N48" s="17">
        <v>4179.0</v>
      </c>
      <c r="O48" s="17">
        <v>3.44</v>
      </c>
      <c r="P48" s="17">
        <v>69.47</v>
      </c>
      <c r="Q48" s="17">
        <v>176304.0</v>
      </c>
      <c r="R48" s="7"/>
      <c r="S48" s="7"/>
    </row>
    <row r="49">
      <c r="A49" s="17">
        <v>46.0</v>
      </c>
      <c r="B49" s="19" t="s">
        <v>211</v>
      </c>
      <c r="C49" s="19" t="s">
        <v>1197</v>
      </c>
      <c r="D49" s="19" t="s">
        <v>487</v>
      </c>
      <c r="E49" s="19" t="s">
        <v>127</v>
      </c>
      <c r="F49" s="19" t="s">
        <v>1249</v>
      </c>
      <c r="G49" s="19" t="s">
        <v>51</v>
      </c>
      <c r="H49" s="17">
        <v>37338.0</v>
      </c>
      <c r="I49" s="17">
        <v>32.67</v>
      </c>
      <c r="J49" s="19" t="s">
        <v>1250</v>
      </c>
      <c r="K49" s="19" t="s">
        <v>45</v>
      </c>
      <c r="L49" s="17">
        <v>32269.0</v>
      </c>
      <c r="M49" s="17">
        <v>28.24</v>
      </c>
      <c r="N49" s="17">
        <v>5069.0</v>
      </c>
      <c r="O49" s="17">
        <v>4.43</v>
      </c>
      <c r="P49" s="17">
        <v>69.71</v>
      </c>
      <c r="Q49" s="17">
        <v>165407.0</v>
      </c>
      <c r="R49" s="7"/>
      <c r="S49" s="7"/>
    </row>
    <row r="50">
      <c r="A50" s="17">
        <v>47.0</v>
      </c>
      <c r="B50" s="19" t="s">
        <v>259</v>
      </c>
      <c r="C50" s="7"/>
      <c r="D50" s="19" t="s">
        <v>487</v>
      </c>
      <c r="E50" s="19" t="s">
        <v>127</v>
      </c>
      <c r="F50" s="19" t="s">
        <v>511</v>
      </c>
      <c r="G50" s="19" t="s">
        <v>74</v>
      </c>
      <c r="H50" s="17">
        <v>37031.0</v>
      </c>
      <c r="I50" s="17">
        <v>30.05</v>
      </c>
      <c r="J50" s="19" t="s">
        <v>1251</v>
      </c>
      <c r="K50" s="19" t="s">
        <v>32</v>
      </c>
      <c r="L50" s="17">
        <v>31655.0</v>
      </c>
      <c r="M50" s="17">
        <v>25.69</v>
      </c>
      <c r="N50" s="17">
        <v>5376.0</v>
      </c>
      <c r="O50" s="17">
        <v>4.36</v>
      </c>
      <c r="P50" s="17">
        <v>69.83</v>
      </c>
      <c r="Q50" s="17">
        <v>177400.0</v>
      </c>
      <c r="R50" s="7"/>
      <c r="S50" s="7"/>
    </row>
    <row r="51">
      <c r="A51" s="17">
        <v>48.0</v>
      </c>
      <c r="B51" s="19" t="s">
        <v>278</v>
      </c>
      <c r="C51" s="7"/>
      <c r="D51" s="19" t="s">
        <v>487</v>
      </c>
      <c r="E51" s="19" t="s">
        <v>127</v>
      </c>
      <c r="F51" s="19" t="s">
        <v>515</v>
      </c>
      <c r="G51" s="19" t="s">
        <v>32</v>
      </c>
      <c r="H51" s="17">
        <v>39633.0</v>
      </c>
      <c r="I51" s="17">
        <v>34.68</v>
      </c>
      <c r="J51" s="19" t="s">
        <v>1253</v>
      </c>
      <c r="K51" s="19" t="s">
        <v>51</v>
      </c>
      <c r="L51" s="17">
        <v>35092.0</v>
      </c>
      <c r="M51" s="17">
        <v>30.71</v>
      </c>
      <c r="N51" s="17">
        <v>4541.0</v>
      </c>
      <c r="O51" s="17">
        <v>3.97</v>
      </c>
      <c r="P51" s="17">
        <v>73.6</v>
      </c>
      <c r="Q51" s="17">
        <v>156218.0</v>
      </c>
      <c r="R51" s="7"/>
      <c r="S51" s="7"/>
    </row>
    <row r="52">
      <c r="A52" s="17">
        <v>49.0</v>
      </c>
      <c r="B52" s="19" t="s">
        <v>467</v>
      </c>
      <c r="C52" s="7"/>
      <c r="D52" s="19" t="s">
        <v>469</v>
      </c>
      <c r="E52" s="19" t="s">
        <v>35</v>
      </c>
      <c r="F52" s="19" t="s">
        <v>521</v>
      </c>
      <c r="G52" s="19" t="s">
        <v>32</v>
      </c>
      <c r="H52" s="17">
        <v>82132.0</v>
      </c>
      <c r="I52" s="17">
        <v>58.45</v>
      </c>
      <c r="J52" s="19" t="s">
        <v>1254</v>
      </c>
      <c r="K52" s="19" t="s">
        <v>45</v>
      </c>
      <c r="L52" s="17">
        <v>36352.0</v>
      </c>
      <c r="M52" s="17">
        <v>25.87</v>
      </c>
      <c r="N52" s="17">
        <v>45780.0</v>
      </c>
      <c r="O52" s="17">
        <v>32.58</v>
      </c>
      <c r="P52" s="17">
        <v>73.2</v>
      </c>
      <c r="Q52" s="17">
        <v>193750.0</v>
      </c>
      <c r="R52" s="7"/>
      <c r="S52" s="7"/>
    </row>
    <row r="53">
      <c r="A53" s="17">
        <v>50.0</v>
      </c>
      <c r="B53" s="19" t="s">
        <v>469</v>
      </c>
      <c r="C53" s="7"/>
      <c r="D53" s="19" t="s">
        <v>469</v>
      </c>
      <c r="E53" s="19" t="s">
        <v>35</v>
      </c>
      <c r="F53" s="19" t="s">
        <v>525</v>
      </c>
      <c r="G53" s="19" t="s">
        <v>32</v>
      </c>
      <c r="H53" s="17">
        <v>59903.0</v>
      </c>
      <c r="I53" s="17">
        <v>44.34</v>
      </c>
      <c r="J53" s="19" t="s">
        <v>1255</v>
      </c>
      <c r="K53" s="19" t="s">
        <v>45</v>
      </c>
      <c r="L53" s="17">
        <v>36271.0</v>
      </c>
      <c r="M53" s="17">
        <v>26.85</v>
      </c>
      <c r="N53" s="17">
        <v>23632.0</v>
      </c>
      <c r="O53" s="17">
        <v>17.49</v>
      </c>
      <c r="P53" s="17">
        <v>73.2</v>
      </c>
      <c r="Q53" s="17">
        <v>185516.0</v>
      </c>
      <c r="R53" s="7"/>
      <c r="S53" s="7"/>
    </row>
    <row r="54">
      <c r="A54" s="17">
        <v>51.0</v>
      </c>
      <c r="B54" s="19" t="s">
        <v>470</v>
      </c>
      <c r="C54" s="19" t="s">
        <v>1197</v>
      </c>
      <c r="D54" s="19" t="s">
        <v>469</v>
      </c>
      <c r="E54" s="19" t="s">
        <v>35</v>
      </c>
      <c r="F54" s="19" t="s">
        <v>530</v>
      </c>
      <c r="G54" s="19" t="s">
        <v>32</v>
      </c>
      <c r="H54" s="17">
        <v>70248.0</v>
      </c>
      <c r="I54" s="17">
        <v>47.83</v>
      </c>
      <c r="J54" s="19" t="s">
        <v>1257</v>
      </c>
      <c r="K54" s="19" t="s">
        <v>45</v>
      </c>
      <c r="L54" s="17">
        <v>62306.0</v>
      </c>
      <c r="M54" s="17">
        <v>42.42</v>
      </c>
      <c r="N54" s="17">
        <v>7942.0</v>
      </c>
      <c r="O54" s="17">
        <v>5.41</v>
      </c>
      <c r="P54" s="17">
        <v>74.43</v>
      </c>
      <c r="Q54" s="17">
        <v>198260.0</v>
      </c>
      <c r="R54" s="7"/>
      <c r="S54" s="7"/>
    </row>
    <row r="55">
      <c r="A55" s="17">
        <v>52.0</v>
      </c>
      <c r="B55" s="19" t="s">
        <v>471</v>
      </c>
      <c r="C55" s="7"/>
      <c r="D55" s="19" t="s">
        <v>472</v>
      </c>
      <c r="E55" s="19" t="s">
        <v>35</v>
      </c>
      <c r="F55" s="19" t="s">
        <v>535</v>
      </c>
      <c r="G55" s="19" t="s">
        <v>32</v>
      </c>
      <c r="H55" s="17">
        <v>78273.0</v>
      </c>
      <c r="I55" s="17">
        <v>44.49</v>
      </c>
      <c r="J55" s="19" t="s">
        <v>1259</v>
      </c>
      <c r="K55" s="19" t="s">
        <v>51</v>
      </c>
      <c r="L55" s="17">
        <v>40388.0</v>
      </c>
      <c r="M55" s="17">
        <v>22.96</v>
      </c>
      <c r="N55" s="17">
        <v>37885.0</v>
      </c>
      <c r="O55" s="17">
        <v>21.53</v>
      </c>
      <c r="P55" s="17">
        <v>66.13</v>
      </c>
      <c r="Q55" s="17">
        <v>267219.0</v>
      </c>
      <c r="R55" s="7"/>
      <c r="S55" s="7"/>
    </row>
    <row r="56">
      <c r="A56" s="17">
        <v>53.0</v>
      </c>
      <c r="B56" s="19" t="s">
        <v>472</v>
      </c>
      <c r="C56" s="7"/>
      <c r="D56" s="19" t="s">
        <v>472</v>
      </c>
      <c r="E56" s="19" t="s">
        <v>35</v>
      </c>
      <c r="F56" s="19" t="s">
        <v>541</v>
      </c>
      <c r="G56" s="19" t="s">
        <v>32</v>
      </c>
      <c r="H56" s="17">
        <v>77134.0</v>
      </c>
      <c r="I56" s="17">
        <v>50.09</v>
      </c>
      <c r="J56" s="19" t="s">
        <v>1262</v>
      </c>
      <c r="K56" s="19" t="s">
        <v>45</v>
      </c>
      <c r="L56" s="17">
        <v>43037.0</v>
      </c>
      <c r="M56" s="17">
        <v>27.95</v>
      </c>
      <c r="N56" s="17">
        <v>34097.0</v>
      </c>
      <c r="O56" s="17">
        <v>22.14</v>
      </c>
      <c r="P56" s="17">
        <v>64.84</v>
      </c>
      <c r="Q56" s="17">
        <v>239357.0</v>
      </c>
      <c r="R56" s="7"/>
      <c r="S56" s="7"/>
    </row>
    <row r="57">
      <c r="A57" s="17">
        <v>54.0</v>
      </c>
      <c r="B57" s="19" t="s">
        <v>473</v>
      </c>
      <c r="C57" s="19" t="s">
        <v>1197</v>
      </c>
      <c r="D57" s="19" t="s">
        <v>475</v>
      </c>
      <c r="E57" s="19" t="s">
        <v>35</v>
      </c>
      <c r="F57" s="19" t="s">
        <v>546</v>
      </c>
      <c r="G57" s="19" t="s">
        <v>32</v>
      </c>
      <c r="H57" s="17">
        <v>54018.0</v>
      </c>
      <c r="I57" s="17">
        <v>48.51</v>
      </c>
      <c r="J57" s="19" t="s">
        <v>1264</v>
      </c>
      <c r="K57" s="19" t="s">
        <v>45</v>
      </c>
      <c r="L57" s="17">
        <v>16177.0</v>
      </c>
      <c r="M57" s="17">
        <v>14.53</v>
      </c>
      <c r="N57" s="17">
        <v>37841.0</v>
      </c>
      <c r="O57" s="17">
        <v>33.98</v>
      </c>
      <c r="P57" s="17">
        <v>74.84</v>
      </c>
      <c r="Q57" s="17">
        <v>149842.0</v>
      </c>
      <c r="R57" s="7"/>
      <c r="S57" s="7"/>
    </row>
    <row r="58">
      <c r="A58" s="17">
        <v>55.0</v>
      </c>
      <c r="B58" s="19" t="s">
        <v>475</v>
      </c>
      <c r="C58" s="7"/>
      <c r="D58" s="19" t="s">
        <v>475</v>
      </c>
      <c r="E58" s="19" t="s">
        <v>35</v>
      </c>
      <c r="F58" s="19" t="s">
        <v>550</v>
      </c>
      <c r="G58" s="19" t="s">
        <v>32</v>
      </c>
      <c r="H58" s="17">
        <v>57706.0</v>
      </c>
      <c r="I58" s="17">
        <v>46.26</v>
      </c>
      <c r="J58" s="19" t="s">
        <v>1267</v>
      </c>
      <c r="K58" s="19" t="s">
        <v>45</v>
      </c>
      <c r="L58" s="17">
        <v>25507.0</v>
      </c>
      <c r="M58" s="17">
        <v>20.45</v>
      </c>
      <c r="N58" s="17">
        <v>32199.0</v>
      </c>
      <c r="O58" s="17">
        <v>25.81</v>
      </c>
      <c r="P58" s="17">
        <v>77.38</v>
      </c>
      <c r="Q58" s="17">
        <v>162218.0</v>
      </c>
      <c r="R58" s="7"/>
      <c r="S58" s="7"/>
    </row>
    <row r="59">
      <c r="A59" s="17">
        <v>56.0</v>
      </c>
      <c r="B59" s="19" t="s">
        <v>476</v>
      </c>
      <c r="C59" s="7"/>
      <c r="D59" s="19" t="s">
        <v>475</v>
      </c>
      <c r="E59" s="19" t="s">
        <v>35</v>
      </c>
      <c r="F59" s="19" t="s">
        <v>558</v>
      </c>
      <c r="G59" s="19" t="s">
        <v>32</v>
      </c>
      <c r="H59" s="17">
        <v>52912.0</v>
      </c>
      <c r="I59" s="17">
        <v>46.64</v>
      </c>
      <c r="J59" s="19" t="s">
        <v>1268</v>
      </c>
      <c r="K59" s="19" t="s">
        <v>51</v>
      </c>
      <c r="L59" s="17">
        <v>28249.0</v>
      </c>
      <c r="M59" s="17">
        <v>24.9</v>
      </c>
      <c r="N59" s="17">
        <v>24663.0</v>
      </c>
      <c r="O59" s="17">
        <v>21.74</v>
      </c>
      <c r="P59" s="17">
        <v>78.74</v>
      </c>
      <c r="Q59" s="17">
        <v>144730.0</v>
      </c>
      <c r="R59" s="7"/>
      <c r="S59" s="7"/>
    </row>
    <row r="60">
      <c r="A60" s="17">
        <v>57.0</v>
      </c>
      <c r="B60" s="19" t="s">
        <v>477</v>
      </c>
      <c r="C60" s="7"/>
      <c r="D60" s="19" t="s">
        <v>519</v>
      </c>
      <c r="E60" s="19" t="s">
        <v>35</v>
      </c>
      <c r="F60" s="19" t="s">
        <v>560</v>
      </c>
      <c r="G60" s="19" t="s">
        <v>32</v>
      </c>
      <c r="H60" s="17">
        <v>62425.0</v>
      </c>
      <c r="I60" s="17">
        <v>48.81</v>
      </c>
      <c r="J60" s="19" t="s">
        <v>1269</v>
      </c>
      <c r="K60" s="19" t="s">
        <v>51</v>
      </c>
      <c r="L60" s="17">
        <v>26805.0</v>
      </c>
      <c r="M60" s="17">
        <v>20.96</v>
      </c>
      <c r="N60" s="17">
        <v>35620.0</v>
      </c>
      <c r="O60" s="17">
        <v>27.85</v>
      </c>
      <c r="P60" s="17">
        <v>74.75</v>
      </c>
      <c r="Q60" s="17">
        <v>172035.0</v>
      </c>
      <c r="R60" s="7"/>
      <c r="S60" s="7"/>
    </row>
    <row r="61">
      <c r="A61" s="17">
        <v>58.0</v>
      </c>
      <c r="B61" s="19" t="s">
        <v>478</v>
      </c>
      <c r="C61" s="7"/>
      <c r="D61" s="19" t="s">
        <v>519</v>
      </c>
      <c r="E61" s="19" t="s">
        <v>35</v>
      </c>
      <c r="F61" s="19" t="s">
        <v>561</v>
      </c>
      <c r="G61" s="19" t="s">
        <v>32</v>
      </c>
      <c r="H61" s="17">
        <v>57557.0</v>
      </c>
      <c r="I61" s="17">
        <v>43.41</v>
      </c>
      <c r="J61" s="19" t="s">
        <v>1271</v>
      </c>
      <c r="K61" s="19" t="s">
        <v>51</v>
      </c>
      <c r="L61" s="17">
        <v>26667.0</v>
      </c>
      <c r="M61" s="17">
        <v>20.11</v>
      </c>
      <c r="N61" s="17">
        <v>30890.0</v>
      </c>
      <c r="O61" s="17">
        <v>23.3</v>
      </c>
      <c r="P61" s="17">
        <v>75.65</v>
      </c>
      <c r="Q61" s="17">
        <v>176507.0</v>
      </c>
      <c r="R61" s="7"/>
      <c r="S61" s="7"/>
    </row>
    <row r="62">
      <c r="A62" s="17">
        <v>59.0</v>
      </c>
      <c r="B62" s="19" t="s">
        <v>320</v>
      </c>
      <c r="C62" s="7"/>
      <c r="D62" s="19" t="s">
        <v>519</v>
      </c>
      <c r="E62" s="19" t="s">
        <v>35</v>
      </c>
      <c r="F62" s="19" t="s">
        <v>563</v>
      </c>
      <c r="G62" s="19" t="s">
        <v>32</v>
      </c>
      <c r="H62" s="17">
        <v>61515.0</v>
      </c>
      <c r="I62" s="17">
        <v>34.46</v>
      </c>
      <c r="J62" s="19" t="s">
        <v>1274</v>
      </c>
      <c r="K62" s="19" t="s">
        <v>45</v>
      </c>
      <c r="L62" s="17">
        <v>46322.0</v>
      </c>
      <c r="M62" s="17">
        <v>25.95</v>
      </c>
      <c r="N62" s="17">
        <v>15193.0</v>
      </c>
      <c r="O62" s="17">
        <v>8.51</v>
      </c>
      <c r="P62" s="17">
        <v>67.52</v>
      </c>
      <c r="Q62" s="17">
        <v>265386.0</v>
      </c>
      <c r="R62" s="7"/>
      <c r="S62" s="7"/>
    </row>
    <row r="63">
      <c r="A63" s="17">
        <v>60.0</v>
      </c>
      <c r="B63" s="19" t="s">
        <v>479</v>
      </c>
      <c r="C63" s="7"/>
      <c r="D63" s="19" t="s">
        <v>519</v>
      </c>
      <c r="E63" s="19" t="s">
        <v>35</v>
      </c>
      <c r="F63" s="19" t="s">
        <v>564</v>
      </c>
      <c r="G63" s="19" t="s">
        <v>32</v>
      </c>
      <c r="H63" s="17">
        <v>68682.0</v>
      </c>
      <c r="I63" s="17">
        <v>47.8</v>
      </c>
      <c r="J63" s="19" t="s">
        <v>1275</v>
      </c>
      <c r="K63" s="19" t="s">
        <v>45</v>
      </c>
      <c r="L63" s="17">
        <v>32760.0</v>
      </c>
      <c r="M63" s="17">
        <v>22.8</v>
      </c>
      <c r="N63" s="17">
        <v>35922.0</v>
      </c>
      <c r="O63" s="17">
        <v>25.0</v>
      </c>
      <c r="P63" s="17">
        <v>66.34</v>
      </c>
      <c r="Q63" s="17">
        <v>217819.0</v>
      </c>
      <c r="R63" s="7"/>
      <c r="S63" s="7"/>
    </row>
    <row r="64">
      <c r="A64" s="17">
        <v>61.0</v>
      </c>
      <c r="B64" s="19" t="s">
        <v>481</v>
      </c>
      <c r="C64" s="7"/>
      <c r="D64" s="19" t="s">
        <v>519</v>
      </c>
      <c r="E64" s="19" t="s">
        <v>35</v>
      </c>
      <c r="F64" s="19" t="s">
        <v>566</v>
      </c>
      <c r="G64" s="19" t="s">
        <v>32</v>
      </c>
      <c r="H64" s="17">
        <v>43811.0</v>
      </c>
      <c r="I64" s="17">
        <v>41.77</v>
      </c>
      <c r="J64" s="19" t="s">
        <v>1276</v>
      </c>
      <c r="K64" s="19" t="s">
        <v>53</v>
      </c>
      <c r="L64" s="17">
        <v>17673.0</v>
      </c>
      <c r="M64" s="17">
        <v>16.85</v>
      </c>
      <c r="N64" s="17">
        <v>26138.0</v>
      </c>
      <c r="O64" s="17">
        <v>24.92</v>
      </c>
      <c r="P64" s="17">
        <v>59.13</v>
      </c>
      <c r="Q64" s="17">
        <v>178311.0</v>
      </c>
      <c r="R64" s="7"/>
      <c r="S64" s="7"/>
    </row>
    <row r="65">
      <c r="A65" s="17">
        <v>62.0</v>
      </c>
      <c r="B65" s="19" t="s">
        <v>482</v>
      </c>
      <c r="C65" s="7"/>
      <c r="D65" s="19" t="s">
        <v>519</v>
      </c>
      <c r="E65" s="19" t="s">
        <v>35</v>
      </c>
      <c r="F65" s="19" t="s">
        <v>567</v>
      </c>
      <c r="G65" s="19" t="s">
        <v>32</v>
      </c>
      <c r="H65" s="17">
        <v>44601.0</v>
      </c>
      <c r="I65" s="17">
        <v>42.77</v>
      </c>
      <c r="J65" s="19" t="s">
        <v>1279</v>
      </c>
      <c r="K65" s="19" t="s">
        <v>45</v>
      </c>
      <c r="L65" s="17">
        <v>28247.0</v>
      </c>
      <c r="M65" s="17">
        <v>27.09</v>
      </c>
      <c r="N65" s="17">
        <v>16354.0</v>
      </c>
      <c r="O65" s="17">
        <v>15.68</v>
      </c>
      <c r="P65" s="17">
        <v>61.56</v>
      </c>
      <c r="Q65" s="17">
        <v>170698.0</v>
      </c>
      <c r="R65" s="7"/>
      <c r="S65" s="7"/>
    </row>
    <row r="66">
      <c r="A66" s="17">
        <v>63.0</v>
      </c>
      <c r="B66" s="19" t="s">
        <v>303</v>
      </c>
      <c r="C66" s="7"/>
      <c r="D66" s="19" t="s">
        <v>519</v>
      </c>
      <c r="E66" s="19" t="s">
        <v>35</v>
      </c>
      <c r="F66" s="19" t="s">
        <v>568</v>
      </c>
      <c r="G66" s="19" t="s">
        <v>32</v>
      </c>
      <c r="H66" s="17">
        <v>32789.0</v>
      </c>
      <c r="I66" s="17">
        <v>33.55</v>
      </c>
      <c r="J66" s="19" t="s">
        <v>1281</v>
      </c>
      <c r="K66" s="19" t="s">
        <v>53</v>
      </c>
      <c r="L66" s="17">
        <v>27985.0</v>
      </c>
      <c r="M66" s="17">
        <v>28.63</v>
      </c>
      <c r="N66" s="17">
        <v>4804.0</v>
      </c>
      <c r="O66" s="17">
        <v>4.92</v>
      </c>
      <c r="P66" s="17">
        <v>61.92</v>
      </c>
      <c r="Q66" s="17">
        <v>158945.0</v>
      </c>
      <c r="R66" s="7"/>
      <c r="S66" s="7"/>
    </row>
    <row r="67">
      <c r="A67" s="17">
        <v>64.0</v>
      </c>
      <c r="B67" s="19" t="s">
        <v>220</v>
      </c>
      <c r="C67" s="7"/>
      <c r="D67" s="19" t="s">
        <v>519</v>
      </c>
      <c r="E67" s="19" t="s">
        <v>35</v>
      </c>
      <c r="F67" s="19" t="s">
        <v>1283</v>
      </c>
      <c r="G67" s="19" t="s">
        <v>32</v>
      </c>
      <c r="H67" s="17">
        <v>40443.0</v>
      </c>
      <c r="I67" s="17">
        <v>34.81</v>
      </c>
      <c r="J67" s="19" t="s">
        <v>1284</v>
      </c>
      <c r="K67" s="19" t="s">
        <v>45</v>
      </c>
      <c r="L67" s="17">
        <v>32931.0</v>
      </c>
      <c r="M67" s="17">
        <v>28.34</v>
      </c>
      <c r="N67" s="17">
        <v>7512.0</v>
      </c>
      <c r="O67" s="17">
        <v>6.47</v>
      </c>
      <c r="P67" s="17">
        <v>64.29</v>
      </c>
      <c r="Q67" s="17">
        <v>182545.0</v>
      </c>
      <c r="R67" s="7"/>
      <c r="S67" s="7"/>
    </row>
    <row r="68">
      <c r="A68" s="17">
        <v>65.0</v>
      </c>
      <c r="B68" s="19" t="s">
        <v>483</v>
      </c>
      <c r="C68" s="7"/>
      <c r="D68" s="19" t="s">
        <v>519</v>
      </c>
      <c r="E68" s="19" t="s">
        <v>35</v>
      </c>
      <c r="F68" s="19" t="s">
        <v>571</v>
      </c>
      <c r="G68" s="19" t="s">
        <v>32</v>
      </c>
      <c r="H68" s="17">
        <v>51104.0</v>
      </c>
      <c r="I68" s="17">
        <v>40.89</v>
      </c>
      <c r="J68" s="19" t="s">
        <v>1288</v>
      </c>
      <c r="K68" s="19" t="s">
        <v>53</v>
      </c>
      <c r="L68" s="17">
        <v>35822.0</v>
      </c>
      <c r="M68" s="17">
        <v>28.66</v>
      </c>
      <c r="N68" s="17">
        <v>15282.0</v>
      </c>
      <c r="O68" s="17">
        <v>12.23</v>
      </c>
      <c r="P68" s="17">
        <v>61.38</v>
      </c>
      <c r="Q68" s="17">
        <v>205144.0</v>
      </c>
      <c r="R68" s="7"/>
      <c r="S68" s="7"/>
    </row>
    <row r="69">
      <c r="A69" s="17">
        <v>66.0</v>
      </c>
      <c r="B69" s="19" t="s">
        <v>485</v>
      </c>
      <c r="C69" s="19" t="s">
        <v>1197</v>
      </c>
      <c r="D69" s="19" t="s">
        <v>519</v>
      </c>
      <c r="E69" s="19" t="s">
        <v>35</v>
      </c>
      <c r="F69" s="19" t="s">
        <v>572</v>
      </c>
      <c r="G69" s="19" t="s">
        <v>32</v>
      </c>
      <c r="H69" s="17">
        <v>92696.0</v>
      </c>
      <c r="I69" s="17">
        <v>50.8</v>
      </c>
      <c r="J69" s="19" t="s">
        <v>1289</v>
      </c>
      <c r="K69" s="19" t="s">
        <v>51</v>
      </c>
      <c r="L69" s="17">
        <v>35052.0</v>
      </c>
      <c r="M69" s="17">
        <v>19.21</v>
      </c>
      <c r="N69" s="17">
        <v>57644.0</v>
      </c>
      <c r="O69" s="17">
        <v>31.59</v>
      </c>
      <c r="P69" s="17">
        <v>67.32</v>
      </c>
      <c r="Q69" s="17">
        <v>273574.0</v>
      </c>
      <c r="R69" s="7"/>
      <c r="S69" s="7"/>
    </row>
    <row r="70">
      <c r="A70" s="17">
        <v>67.0</v>
      </c>
      <c r="B70" s="19" t="s">
        <v>486</v>
      </c>
      <c r="C70" s="19" t="s">
        <v>1197</v>
      </c>
      <c r="D70" s="19" t="s">
        <v>519</v>
      </c>
      <c r="E70" s="19" t="s">
        <v>35</v>
      </c>
      <c r="F70" s="19" t="s">
        <v>574</v>
      </c>
      <c r="G70" s="19" t="s">
        <v>32</v>
      </c>
      <c r="H70" s="17">
        <v>63633.0</v>
      </c>
      <c r="I70" s="17">
        <v>50.38</v>
      </c>
      <c r="J70" s="19" t="s">
        <v>1291</v>
      </c>
      <c r="K70" s="19" t="s">
        <v>45</v>
      </c>
      <c r="L70" s="17">
        <v>30624.0</v>
      </c>
      <c r="M70" s="17">
        <v>24.24</v>
      </c>
      <c r="N70" s="17">
        <v>33009.0</v>
      </c>
      <c r="O70" s="17">
        <v>26.14</v>
      </c>
      <c r="P70" s="17">
        <v>76.26</v>
      </c>
      <c r="Q70" s="17">
        <v>166299.0</v>
      </c>
      <c r="R70" s="7"/>
      <c r="S70" s="7"/>
    </row>
    <row r="71">
      <c r="A71" s="17">
        <v>68.0</v>
      </c>
      <c r="B71" s="19" t="s">
        <v>34</v>
      </c>
      <c r="C71" s="7"/>
      <c r="D71" s="19" t="s">
        <v>519</v>
      </c>
      <c r="E71" s="19" t="s">
        <v>35</v>
      </c>
      <c r="F71" s="19" t="s">
        <v>1294</v>
      </c>
      <c r="G71" s="19" t="s">
        <v>51</v>
      </c>
      <c r="H71" s="17">
        <v>49909.0</v>
      </c>
      <c r="I71" s="17">
        <v>35.25</v>
      </c>
      <c r="J71" s="19" t="s">
        <v>1295</v>
      </c>
      <c r="K71" s="19" t="s">
        <v>45</v>
      </c>
      <c r="L71" s="17">
        <v>44102.0</v>
      </c>
      <c r="M71" s="17">
        <v>31.15</v>
      </c>
      <c r="N71" s="17">
        <v>5807.0</v>
      </c>
      <c r="O71" s="17">
        <v>4.1</v>
      </c>
      <c r="P71" s="17">
        <v>75.73</v>
      </c>
      <c r="Q71" s="17">
        <v>188492.0</v>
      </c>
      <c r="R71" s="7"/>
      <c r="S71" s="7"/>
    </row>
    <row r="72">
      <c r="A72" s="17">
        <v>69.0</v>
      </c>
      <c r="B72" s="19" t="s">
        <v>489</v>
      </c>
      <c r="C72" s="19" t="s">
        <v>1197</v>
      </c>
      <c r="D72" s="19" t="s">
        <v>519</v>
      </c>
      <c r="E72" s="19" t="s">
        <v>35</v>
      </c>
      <c r="F72" s="19" t="s">
        <v>577</v>
      </c>
      <c r="G72" s="19" t="s">
        <v>32</v>
      </c>
      <c r="H72" s="17">
        <v>63659.0</v>
      </c>
      <c r="I72" s="17">
        <v>56.65</v>
      </c>
      <c r="J72" s="19" t="s">
        <v>1297</v>
      </c>
      <c r="K72" s="19" t="s">
        <v>45</v>
      </c>
      <c r="L72" s="17">
        <v>36015.0</v>
      </c>
      <c r="M72" s="17">
        <v>32.05</v>
      </c>
      <c r="N72" s="17">
        <v>27644.0</v>
      </c>
      <c r="O72" s="17">
        <v>24.6</v>
      </c>
      <c r="P72" s="17">
        <v>72.27</v>
      </c>
      <c r="Q72" s="17">
        <v>157186.0</v>
      </c>
      <c r="R72" s="7"/>
      <c r="S72" s="7"/>
    </row>
    <row r="73">
      <c r="A73" s="17">
        <v>70.0</v>
      </c>
      <c r="B73" s="19" t="s">
        <v>491</v>
      </c>
      <c r="C73" s="19" t="s">
        <v>1197</v>
      </c>
      <c r="D73" s="19" t="s">
        <v>519</v>
      </c>
      <c r="E73" s="19" t="s">
        <v>35</v>
      </c>
      <c r="F73" s="19" t="s">
        <v>578</v>
      </c>
      <c r="G73" s="19" t="s">
        <v>32</v>
      </c>
      <c r="H73" s="17">
        <v>65195.0</v>
      </c>
      <c r="I73" s="17">
        <v>52.39</v>
      </c>
      <c r="J73" s="19" t="s">
        <v>1299</v>
      </c>
      <c r="K73" s="19" t="s">
        <v>51</v>
      </c>
      <c r="L73" s="17">
        <v>25539.0</v>
      </c>
      <c r="M73" s="17">
        <v>20.52</v>
      </c>
      <c r="N73" s="17">
        <v>39656.0</v>
      </c>
      <c r="O73" s="17">
        <v>31.87</v>
      </c>
      <c r="P73" s="17">
        <v>67.7</v>
      </c>
      <c r="Q73" s="17">
        <v>185401.0</v>
      </c>
      <c r="R73" s="7"/>
      <c r="S73" s="7"/>
    </row>
    <row r="74">
      <c r="A74" s="17">
        <v>71.0</v>
      </c>
      <c r="B74" s="19" t="s">
        <v>493</v>
      </c>
      <c r="C74" s="19" t="s">
        <v>1197</v>
      </c>
      <c r="D74" s="19" t="s">
        <v>495</v>
      </c>
      <c r="E74" s="19" t="s">
        <v>35</v>
      </c>
      <c r="F74" s="19" t="s">
        <v>579</v>
      </c>
      <c r="G74" s="19" t="s">
        <v>32</v>
      </c>
      <c r="H74" s="17">
        <v>65156.0</v>
      </c>
      <c r="I74" s="17">
        <v>46.44</v>
      </c>
      <c r="J74" s="19" t="s">
        <v>1301</v>
      </c>
      <c r="K74" s="19" t="s">
        <v>45</v>
      </c>
      <c r="L74" s="17">
        <v>27172.0</v>
      </c>
      <c r="M74" s="17">
        <v>19.37</v>
      </c>
      <c r="N74" s="17">
        <v>37984.0</v>
      </c>
      <c r="O74" s="17">
        <v>27.07</v>
      </c>
      <c r="P74" s="17">
        <v>71.08</v>
      </c>
      <c r="Q74" s="17">
        <v>198817.0</v>
      </c>
      <c r="R74" s="7"/>
      <c r="S74" s="7"/>
    </row>
    <row r="75">
      <c r="A75" s="17">
        <v>72.0</v>
      </c>
      <c r="B75" s="19" t="s">
        <v>494</v>
      </c>
      <c r="C75" s="7"/>
      <c r="D75" s="19" t="s">
        <v>495</v>
      </c>
      <c r="E75" s="19" t="s">
        <v>35</v>
      </c>
      <c r="F75" s="19" t="s">
        <v>580</v>
      </c>
      <c r="G75" s="19" t="s">
        <v>32</v>
      </c>
      <c r="H75" s="17">
        <v>67143.0</v>
      </c>
      <c r="I75" s="17">
        <v>50.85</v>
      </c>
      <c r="J75" s="19" t="s">
        <v>1303</v>
      </c>
      <c r="K75" s="19" t="s">
        <v>51</v>
      </c>
      <c r="L75" s="17">
        <v>33384.0</v>
      </c>
      <c r="M75" s="17">
        <v>25.29</v>
      </c>
      <c r="N75" s="17">
        <v>33759.0</v>
      </c>
      <c r="O75" s="17">
        <v>25.56</v>
      </c>
      <c r="P75" s="17">
        <v>77.08</v>
      </c>
      <c r="Q75" s="17">
        <v>172851.0</v>
      </c>
      <c r="R75" s="7"/>
      <c r="S75" s="7"/>
    </row>
    <row r="76">
      <c r="A76" s="17">
        <v>73.0</v>
      </c>
      <c r="B76" s="19" t="s">
        <v>495</v>
      </c>
      <c r="C76" s="7"/>
      <c r="D76" s="19" t="s">
        <v>495</v>
      </c>
      <c r="E76" s="19" t="s">
        <v>35</v>
      </c>
      <c r="F76" s="19" t="s">
        <v>582</v>
      </c>
      <c r="G76" s="19" t="s">
        <v>32</v>
      </c>
      <c r="H76" s="17">
        <v>59149.0</v>
      </c>
      <c r="I76" s="17">
        <v>41.27</v>
      </c>
      <c r="J76" s="19" t="s">
        <v>1305</v>
      </c>
      <c r="K76" s="19" t="s">
        <v>45</v>
      </c>
      <c r="L76" s="17">
        <v>38234.0</v>
      </c>
      <c r="M76" s="17">
        <v>26.68</v>
      </c>
      <c r="N76" s="17">
        <v>20915.0</v>
      </c>
      <c r="O76" s="17">
        <v>14.59</v>
      </c>
      <c r="P76" s="17">
        <v>70.73</v>
      </c>
      <c r="Q76" s="17">
        <v>203919.0</v>
      </c>
      <c r="R76" s="7"/>
      <c r="S76" s="7"/>
    </row>
    <row r="77">
      <c r="A77" s="17">
        <v>74.0</v>
      </c>
      <c r="B77" s="19" t="s">
        <v>496</v>
      </c>
      <c r="C77" s="7"/>
      <c r="D77" s="19" t="s">
        <v>495</v>
      </c>
      <c r="E77" s="19" t="s">
        <v>35</v>
      </c>
      <c r="F77" s="19" t="s">
        <v>583</v>
      </c>
      <c r="G77" s="19" t="s">
        <v>32</v>
      </c>
      <c r="H77" s="17">
        <v>65378.0</v>
      </c>
      <c r="I77" s="17">
        <v>46.22</v>
      </c>
      <c r="J77" s="19" t="s">
        <v>1307</v>
      </c>
      <c r="K77" s="19" t="s">
        <v>45</v>
      </c>
      <c r="L77" s="17">
        <v>35406.0</v>
      </c>
      <c r="M77" s="17">
        <v>25.03</v>
      </c>
      <c r="N77" s="17">
        <v>29972.0</v>
      </c>
      <c r="O77" s="17">
        <v>21.19</v>
      </c>
      <c r="P77" s="17">
        <v>78.01</v>
      </c>
      <c r="Q77" s="17">
        <v>182302.0</v>
      </c>
      <c r="R77" s="7"/>
      <c r="S77" s="7"/>
    </row>
    <row r="78">
      <c r="A78" s="17">
        <v>75.0</v>
      </c>
      <c r="B78" s="19" t="s">
        <v>497</v>
      </c>
      <c r="C78" s="7"/>
      <c r="D78" s="19" t="s">
        <v>562</v>
      </c>
      <c r="E78" s="19" t="s">
        <v>35</v>
      </c>
      <c r="F78" s="19" t="s">
        <v>585</v>
      </c>
      <c r="G78" s="19" t="s">
        <v>32</v>
      </c>
      <c r="H78" s="17">
        <v>64034.0</v>
      </c>
      <c r="I78" s="17">
        <v>42.54</v>
      </c>
      <c r="J78" s="19" t="s">
        <v>1309</v>
      </c>
      <c r="K78" s="19" t="s">
        <v>51</v>
      </c>
      <c r="L78" s="17">
        <v>41258.0</v>
      </c>
      <c r="M78" s="17">
        <v>27.41</v>
      </c>
      <c r="N78" s="17">
        <v>22776.0</v>
      </c>
      <c r="O78" s="17">
        <v>15.13</v>
      </c>
      <c r="P78" s="17">
        <v>80.3</v>
      </c>
      <c r="Q78" s="17">
        <v>188313.0</v>
      </c>
      <c r="R78" s="7"/>
      <c r="S78" s="7"/>
    </row>
    <row r="79">
      <c r="A79" s="17">
        <v>76.0</v>
      </c>
      <c r="B79" s="19" t="s">
        <v>499</v>
      </c>
      <c r="C79" s="7"/>
      <c r="D79" s="19" t="s">
        <v>562</v>
      </c>
      <c r="E79" s="19" t="s">
        <v>35</v>
      </c>
      <c r="F79" s="19" t="s">
        <v>623</v>
      </c>
      <c r="G79" s="19" t="s">
        <v>32</v>
      </c>
      <c r="H79" s="17">
        <v>48443.0</v>
      </c>
      <c r="I79" s="17">
        <v>39.05</v>
      </c>
      <c r="J79" s="19" t="s">
        <v>1312</v>
      </c>
      <c r="K79" s="19" t="s">
        <v>45</v>
      </c>
      <c r="L79" s="17">
        <v>28874.0</v>
      </c>
      <c r="M79" s="17">
        <v>23.27</v>
      </c>
      <c r="N79" s="17">
        <v>19569.0</v>
      </c>
      <c r="O79" s="17">
        <v>15.78</v>
      </c>
      <c r="P79" s="17">
        <v>71.81</v>
      </c>
      <c r="Q79" s="17">
        <v>173368.0</v>
      </c>
      <c r="R79" s="7"/>
      <c r="S79" s="7"/>
    </row>
    <row r="80">
      <c r="A80" s="17">
        <v>77.0</v>
      </c>
      <c r="B80" s="19" t="s">
        <v>501</v>
      </c>
      <c r="C80" s="19" t="s">
        <v>1197</v>
      </c>
      <c r="D80" s="19" t="s">
        <v>562</v>
      </c>
      <c r="E80" s="19" t="s">
        <v>35</v>
      </c>
      <c r="F80" s="19" t="s">
        <v>658</v>
      </c>
      <c r="G80" s="19" t="s">
        <v>32</v>
      </c>
      <c r="H80" s="17">
        <v>75293.0</v>
      </c>
      <c r="I80" s="17">
        <v>49.76</v>
      </c>
      <c r="J80" s="19" t="s">
        <v>1315</v>
      </c>
      <c r="K80" s="19" t="s">
        <v>51</v>
      </c>
      <c r="L80" s="17">
        <v>47547.0</v>
      </c>
      <c r="M80" s="17">
        <v>31.42</v>
      </c>
      <c r="N80" s="17">
        <v>27746.0</v>
      </c>
      <c r="O80" s="17">
        <v>18.34</v>
      </c>
      <c r="P80" s="17">
        <v>77.2</v>
      </c>
      <c r="Q80" s="17">
        <v>196789.0</v>
      </c>
      <c r="R80" s="7"/>
      <c r="S80" s="7"/>
    </row>
    <row r="81">
      <c r="A81" s="17">
        <v>78.0</v>
      </c>
      <c r="B81" s="19" t="s">
        <v>506</v>
      </c>
      <c r="C81" s="7"/>
      <c r="D81" s="19" t="s">
        <v>562</v>
      </c>
      <c r="E81" s="19" t="s">
        <v>35</v>
      </c>
      <c r="F81" s="19" t="s">
        <v>661</v>
      </c>
      <c r="G81" s="19" t="s">
        <v>32</v>
      </c>
      <c r="H81" s="17">
        <v>68343.0</v>
      </c>
      <c r="I81" s="17">
        <v>49.18</v>
      </c>
      <c r="J81" s="19" t="s">
        <v>1317</v>
      </c>
      <c r="K81" s="19" t="s">
        <v>51</v>
      </c>
      <c r="L81" s="17">
        <v>57769.0</v>
      </c>
      <c r="M81" s="17">
        <v>41.57</v>
      </c>
      <c r="N81" s="17">
        <v>10574.0</v>
      </c>
      <c r="O81" s="17">
        <v>7.61</v>
      </c>
      <c r="P81" s="17">
        <v>80.46</v>
      </c>
      <c r="Q81" s="17">
        <v>173257.0</v>
      </c>
      <c r="R81" s="7"/>
      <c r="S81" s="7"/>
    </row>
    <row r="82">
      <c r="A82" s="17">
        <v>79.0</v>
      </c>
      <c r="B82" s="19" t="s">
        <v>508</v>
      </c>
      <c r="C82" s="7"/>
      <c r="D82" s="19" t="s">
        <v>510</v>
      </c>
      <c r="E82" s="19" t="s">
        <v>35</v>
      </c>
      <c r="F82" s="19" t="s">
        <v>667</v>
      </c>
      <c r="G82" s="19" t="s">
        <v>32</v>
      </c>
      <c r="H82" s="17">
        <v>91455.0</v>
      </c>
      <c r="I82" s="17">
        <v>53.21</v>
      </c>
      <c r="J82" s="19" t="s">
        <v>1320</v>
      </c>
      <c r="K82" s="19" t="s">
        <v>51</v>
      </c>
      <c r="L82" s="17">
        <v>60525.0</v>
      </c>
      <c r="M82" s="17">
        <v>35.22</v>
      </c>
      <c r="N82" s="17">
        <v>30930.0</v>
      </c>
      <c r="O82" s="17">
        <v>17.99</v>
      </c>
      <c r="P82" s="17">
        <v>80.6</v>
      </c>
      <c r="Q82" s="17">
        <v>214303.0</v>
      </c>
      <c r="R82" s="7"/>
      <c r="S82" s="7"/>
    </row>
    <row r="83">
      <c r="A83" s="17">
        <v>80.0</v>
      </c>
      <c r="B83" s="19" t="s">
        <v>510</v>
      </c>
      <c r="C83" s="7"/>
      <c r="D83" s="19" t="s">
        <v>510</v>
      </c>
      <c r="E83" s="19" t="s">
        <v>35</v>
      </c>
      <c r="F83" s="19" t="s">
        <v>670</v>
      </c>
      <c r="G83" s="19" t="s">
        <v>32</v>
      </c>
      <c r="H83" s="17">
        <v>63157.0</v>
      </c>
      <c r="I83" s="17">
        <v>43.73</v>
      </c>
      <c r="J83" s="19" t="s">
        <v>1322</v>
      </c>
      <c r="K83" s="19" t="s">
        <v>53</v>
      </c>
      <c r="L83" s="17">
        <v>35437.0</v>
      </c>
      <c r="M83" s="17">
        <v>24.54</v>
      </c>
      <c r="N83" s="17">
        <v>27720.0</v>
      </c>
      <c r="O83" s="17">
        <v>19.19</v>
      </c>
      <c r="P83" s="17">
        <v>81.54</v>
      </c>
      <c r="Q83" s="17">
        <v>178100.0</v>
      </c>
      <c r="R83" s="7"/>
      <c r="S83" s="7"/>
    </row>
    <row r="84">
      <c r="A84" s="17">
        <v>81.0</v>
      </c>
      <c r="B84" s="19" t="s">
        <v>270</v>
      </c>
      <c r="C84" s="7"/>
      <c r="D84" s="19" t="s">
        <v>510</v>
      </c>
      <c r="E84" s="19" t="s">
        <v>35</v>
      </c>
      <c r="F84" s="19" t="s">
        <v>679</v>
      </c>
      <c r="G84" s="19" t="s">
        <v>45</v>
      </c>
      <c r="H84" s="17">
        <v>49924.0</v>
      </c>
      <c r="I84" s="17">
        <v>37.71</v>
      </c>
      <c r="J84" s="19" t="s">
        <v>1325</v>
      </c>
      <c r="K84" s="19" t="s">
        <v>32</v>
      </c>
      <c r="L84" s="17">
        <v>44453.0</v>
      </c>
      <c r="M84" s="17">
        <v>33.58</v>
      </c>
      <c r="N84" s="17">
        <v>5471.0</v>
      </c>
      <c r="O84" s="17">
        <v>4.13</v>
      </c>
      <c r="P84" s="17">
        <v>74.47</v>
      </c>
      <c r="Q84" s="17">
        <v>178739.0</v>
      </c>
      <c r="R84" s="7"/>
      <c r="S84" s="7"/>
    </row>
    <row r="85">
      <c r="A85" s="17">
        <v>82.0</v>
      </c>
      <c r="B85" s="19" t="s">
        <v>512</v>
      </c>
      <c r="C85" s="19" t="s">
        <v>1197</v>
      </c>
      <c r="D85" s="19" t="s">
        <v>510</v>
      </c>
      <c r="E85" s="19" t="s">
        <v>35</v>
      </c>
      <c r="F85" s="19" t="s">
        <v>680</v>
      </c>
      <c r="G85" s="19" t="s">
        <v>32</v>
      </c>
      <c r="H85" s="17">
        <v>58893.0</v>
      </c>
      <c r="I85" s="17">
        <v>41.26</v>
      </c>
      <c r="J85" s="19" t="s">
        <v>1328</v>
      </c>
      <c r="K85" s="19" t="s">
        <v>53</v>
      </c>
      <c r="L85" s="17">
        <v>39720.0</v>
      </c>
      <c r="M85" s="17">
        <v>27.83</v>
      </c>
      <c r="N85" s="17">
        <v>19173.0</v>
      </c>
      <c r="O85" s="17">
        <v>13.43</v>
      </c>
      <c r="P85" s="17">
        <v>78.06</v>
      </c>
      <c r="Q85" s="17">
        <v>184437.0</v>
      </c>
      <c r="R85" s="7"/>
      <c r="S85" s="7"/>
    </row>
    <row r="86">
      <c r="A86" s="17">
        <v>83.0</v>
      </c>
      <c r="B86" s="19" t="s">
        <v>513</v>
      </c>
      <c r="C86" s="7"/>
      <c r="D86" s="19" t="s">
        <v>569</v>
      </c>
      <c r="E86" s="19" t="s">
        <v>35</v>
      </c>
      <c r="F86" s="19" t="s">
        <v>681</v>
      </c>
      <c r="G86" s="19" t="s">
        <v>32</v>
      </c>
      <c r="H86" s="17">
        <v>66313.0</v>
      </c>
      <c r="I86" s="17">
        <v>49.31</v>
      </c>
      <c r="J86" s="19" t="s">
        <v>1330</v>
      </c>
      <c r="K86" s="19" t="s">
        <v>51</v>
      </c>
      <c r="L86" s="17">
        <v>54917.0</v>
      </c>
      <c r="M86" s="17">
        <v>40.84</v>
      </c>
      <c r="N86" s="17">
        <v>11396.0</v>
      </c>
      <c r="O86" s="17">
        <v>8.47</v>
      </c>
      <c r="P86" s="17">
        <v>81.83</v>
      </c>
      <c r="Q86" s="17">
        <v>165827.0</v>
      </c>
      <c r="R86" s="7"/>
      <c r="S86" s="7"/>
    </row>
    <row r="87">
      <c r="A87" s="17">
        <v>84.0</v>
      </c>
      <c r="B87" s="19" t="s">
        <v>148</v>
      </c>
      <c r="C87" s="7"/>
      <c r="D87" s="19" t="s">
        <v>569</v>
      </c>
      <c r="E87" s="19" t="s">
        <v>35</v>
      </c>
      <c r="F87" s="19" t="s">
        <v>1331</v>
      </c>
      <c r="G87" s="19" t="s">
        <v>45</v>
      </c>
      <c r="H87" s="17">
        <v>50998.0</v>
      </c>
      <c r="I87" s="17">
        <v>35.74</v>
      </c>
      <c r="J87" s="19" t="s">
        <v>682</v>
      </c>
      <c r="K87" s="19" t="s">
        <v>51</v>
      </c>
      <c r="L87" s="17">
        <v>49649.0</v>
      </c>
      <c r="M87" s="17">
        <v>34.79</v>
      </c>
      <c r="N87" s="17">
        <v>1349.0</v>
      </c>
      <c r="O87" s="17">
        <v>0.95</v>
      </c>
      <c r="P87" s="17">
        <v>85.7</v>
      </c>
      <c r="Q87" s="17">
        <v>167771.0</v>
      </c>
      <c r="R87" s="7"/>
      <c r="S87" s="7"/>
    </row>
    <row r="88">
      <c r="A88" s="17">
        <v>85.0</v>
      </c>
      <c r="B88" s="19" t="s">
        <v>514</v>
      </c>
      <c r="C88" s="19" t="s">
        <v>1197</v>
      </c>
      <c r="D88" s="19" t="s">
        <v>569</v>
      </c>
      <c r="E88" s="19" t="s">
        <v>35</v>
      </c>
      <c r="F88" s="19" t="s">
        <v>683</v>
      </c>
      <c r="G88" s="19" t="s">
        <v>32</v>
      </c>
      <c r="H88" s="17">
        <v>77370.0</v>
      </c>
      <c r="I88" s="17">
        <v>55.96</v>
      </c>
      <c r="J88" s="19" t="s">
        <v>1334</v>
      </c>
      <c r="K88" s="19" t="s">
        <v>51</v>
      </c>
      <c r="L88" s="17">
        <v>37109.0</v>
      </c>
      <c r="M88" s="17">
        <v>26.84</v>
      </c>
      <c r="N88" s="17">
        <v>40261.0</v>
      </c>
      <c r="O88" s="17">
        <v>29.12</v>
      </c>
      <c r="P88" s="17">
        <v>78.66</v>
      </c>
      <c r="Q88" s="17">
        <v>176928.0</v>
      </c>
      <c r="R88" s="7"/>
      <c r="S88" s="7"/>
    </row>
    <row r="89">
      <c r="A89" s="17">
        <v>86.0</v>
      </c>
      <c r="B89" s="19" t="s">
        <v>516</v>
      </c>
      <c r="C89" s="7"/>
      <c r="D89" s="19" t="s">
        <v>569</v>
      </c>
      <c r="E89" s="19" t="s">
        <v>35</v>
      </c>
      <c r="F89" s="19" t="s">
        <v>685</v>
      </c>
      <c r="G89" s="19" t="s">
        <v>32</v>
      </c>
      <c r="H89" s="17">
        <v>76321.0</v>
      </c>
      <c r="I89" s="17">
        <v>51.37</v>
      </c>
      <c r="J89" s="19" t="s">
        <v>1337</v>
      </c>
      <c r="K89" s="19" t="s">
        <v>51</v>
      </c>
      <c r="L89" s="17">
        <v>42127.0</v>
      </c>
      <c r="M89" s="17">
        <v>28.35</v>
      </c>
      <c r="N89" s="17">
        <v>34194.0</v>
      </c>
      <c r="O89" s="17">
        <v>23.02</v>
      </c>
      <c r="P89" s="17">
        <v>78.93</v>
      </c>
      <c r="Q89" s="17">
        <v>189276.0</v>
      </c>
      <c r="R89" s="7"/>
      <c r="S89" s="7"/>
    </row>
    <row r="90">
      <c r="A90" s="17">
        <v>87.0</v>
      </c>
      <c r="B90" s="19" t="s">
        <v>517</v>
      </c>
      <c r="C90" s="7"/>
      <c r="D90" s="19" t="s">
        <v>517</v>
      </c>
      <c r="E90" s="19" t="s">
        <v>35</v>
      </c>
      <c r="F90" s="19" t="s">
        <v>753</v>
      </c>
      <c r="G90" s="19" t="s">
        <v>32</v>
      </c>
      <c r="H90" s="17">
        <v>53484.0</v>
      </c>
      <c r="I90" s="17">
        <v>41.41</v>
      </c>
      <c r="J90" s="19" t="s">
        <v>1339</v>
      </c>
      <c r="K90" s="19" t="s">
        <v>51</v>
      </c>
      <c r="L90" s="17">
        <v>36687.0</v>
      </c>
      <c r="M90" s="17">
        <v>28.4</v>
      </c>
      <c r="N90" s="17">
        <v>16797.0</v>
      </c>
      <c r="O90" s="17">
        <v>13.01</v>
      </c>
      <c r="P90" s="17">
        <v>76.16</v>
      </c>
      <c r="Q90" s="17">
        <v>170539.0</v>
      </c>
      <c r="R90" s="7"/>
      <c r="S90" s="7"/>
    </row>
    <row r="91">
      <c r="A91" s="17">
        <v>88.0</v>
      </c>
      <c r="B91" s="19" t="s">
        <v>518</v>
      </c>
      <c r="C91" s="7"/>
      <c r="D91" s="19" t="s">
        <v>517</v>
      </c>
      <c r="E91" s="19" t="s">
        <v>35</v>
      </c>
      <c r="F91" s="19" t="s">
        <v>756</v>
      </c>
      <c r="G91" s="19" t="s">
        <v>32</v>
      </c>
      <c r="H91" s="17">
        <v>54009.0</v>
      </c>
      <c r="I91" s="17">
        <v>44.13</v>
      </c>
      <c r="J91" s="19" t="s">
        <v>1341</v>
      </c>
      <c r="K91" s="19" t="s">
        <v>45</v>
      </c>
      <c r="L91" s="17">
        <v>32879.0</v>
      </c>
      <c r="M91" s="17">
        <v>26.86</v>
      </c>
      <c r="N91" s="17">
        <v>21130.0</v>
      </c>
      <c r="O91" s="17">
        <v>17.27</v>
      </c>
      <c r="P91" s="17">
        <v>76.94</v>
      </c>
      <c r="Q91" s="17">
        <v>160223.0</v>
      </c>
      <c r="R91" s="7"/>
      <c r="S91" s="7"/>
    </row>
    <row r="92">
      <c r="A92" s="17">
        <v>89.0</v>
      </c>
      <c r="B92" s="19" t="s">
        <v>520</v>
      </c>
      <c r="C92" s="19" t="s">
        <v>1197</v>
      </c>
      <c r="D92" s="19" t="s">
        <v>517</v>
      </c>
      <c r="E92" s="19" t="s">
        <v>35</v>
      </c>
      <c r="F92" s="19" t="s">
        <v>758</v>
      </c>
      <c r="G92" s="19" t="s">
        <v>32</v>
      </c>
      <c r="H92" s="17">
        <v>60242.0</v>
      </c>
      <c r="I92" s="17">
        <v>52.19</v>
      </c>
      <c r="J92" s="19" t="s">
        <v>1343</v>
      </c>
      <c r="K92" s="19" t="s">
        <v>51</v>
      </c>
      <c r="L92" s="17">
        <v>27453.0</v>
      </c>
      <c r="M92" s="17">
        <v>23.78</v>
      </c>
      <c r="N92" s="17">
        <v>32789.0</v>
      </c>
      <c r="O92" s="17">
        <v>28.41</v>
      </c>
      <c r="P92" s="17">
        <v>76.63</v>
      </c>
      <c r="Q92" s="17">
        <v>151797.0</v>
      </c>
      <c r="R92" s="7"/>
      <c r="S92" s="7"/>
    </row>
    <row r="93">
      <c r="A93" s="17">
        <v>90.0</v>
      </c>
      <c r="B93" s="19" t="s">
        <v>522</v>
      </c>
      <c r="C93" s="7"/>
      <c r="D93" s="19" t="s">
        <v>573</v>
      </c>
      <c r="E93" s="19" t="s">
        <v>35</v>
      </c>
      <c r="F93" s="19" t="s">
        <v>759</v>
      </c>
      <c r="G93" s="19" t="s">
        <v>32</v>
      </c>
      <c r="H93" s="17">
        <v>56155.0</v>
      </c>
      <c r="I93" s="17">
        <v>41.48</v>
      </c>
      <c r="J93" s="19" t="s">
        <v>1344</v>
      </c>
      <c r="K93" s="19" t="s">
        <v>51</v>
      </c>
      <c r="L93" s="17">
        <v>45745.0</v>
      </c>
      <c r="M93" s="17">
        <v>33.79</v>
      </c>
      <c r="N93" s="17">
        <v>10410.0</v>
      </c>
      <c r="O93" s="17">
        <v>7.69</v>
      </c>
      <c r="P93" s="17">
        <v>79.74</v>
      </c>
      <c r="Q93" s="17">
        <v>170676.0</v>
      </c>
      <c r="R93" s="7"/>
      <c r="S93" s="7"/>
    </row>
    <row r="94">
      <c r="A94" s="17">
        <v>91.0</v>
      </c>
      <c r="B94" s="19" t="s">
        <v>523</v>
      </c>
      <c r="C94" s="19" t="s">
        <v>1197</v>
      </c>
      <c r="D94" s="19" t="s">
        <v>573</v>
      </c>
      <c r="E94" s="19" t="s">
        <v>35</v>
      </c>
      <c r="F94" s="19" t="s">
        <v>760</v>
      </c>
      <c r="G94" s="19" t="s">
        <v>32</v>
      </c>
      <c r="H94" s="17">
        <v>85778.0</v>
      </c>
      <c r="I94" s="17">
        <v>57.89</v>
      </c>
      <c r="J94" s="19" t="s">
        <v>1346</v>
      </c>
      <c r="K94" s="19" t="s">
        <v>51</v>
      </c>
      <c r="L94" s="17">
        <v>35566.0</v>
      </c>
      <c r="M94" s="17">
        <v>24.0</v>
      </c>
      <c r="N94" s="17">
        <v>50212.0</v>
      </c>
      <c r="O94" s="17">
        <v>33.89</v>
      </c>
      <c r="P94" s="17">
        <v>80.65</v>
      </c>
      <c r="Q94" s="17">
        <v>185659.0</v>
      </c>
      <c r="R94" s="7"/>
      <c r="S94" s="7"/>
    </row>
    <row r="95">
      <c r="A95" s="17">
        <v>92.0</v>
      </c>
      <c r="B95" s="19" t="s">
        <v>524</v>
      </c>
      <c r="C95" s="7"/>
      <c r="D95" s="19" t="s">
        <v>573</v>
      </c>
      <c r="E95" s="19" t="s">
        <v>35</v>
      </c>
      <c r="F95" s="19" t="s">
        <v>795</v>
      </c>
      <c r="G95" s="19" t="s">
        <v>32</v>
      </c>
      <c r="H95" s="17">
        <v>93057.0</v>
      </c>
      <c r="I95" s="17">
        <v>57.62</v>
      </c>
      <c r="J95" s="19" t="s">
        <v>1349</v>
      </c>
      <c r="K95" s="19" t="s">
        <v>45</v>
      </c>
      <c r="L95" s="17">
        <v>29476.0</v>
      </c>
      <c r="M95" s="17">
        <v>18.25</v>
      </c>
      <c r="N95" s="17">
        <v>63581.0</v>
      </c>
      <c r="O95" s="17">
        <v>39.37</v>
      </c>
      <c r="P95" s="17">
        <v>70.78</v>
      </c>
      <c r="Q95" s="17">
        <v>229872.0</v>
      </c>
      <c r="R95" s="7"/>
      <c r="S95" s="7"/>
    </row>
    <row r="96">
      <c r="A96" s="17">
        <v>93.0</v>
      </c>
      <c r="B96" s="19" t="s">
        <v>526</v>
      </c>
      <c r="C96" s="19" t="s">
        <v>1197</v>
      </c>
      <c r="D96" s="19" t="s">
        <v>573</v>
      </c>
      <c r="E96" s="19" t="s">
        <v>35</v>
      </c>
      <c r="F96" s="19" t="s">
        <v>845</v>
      </c>
      <c r="G96" s="19" t="s">
        <v>32</v>
      </c>
      <c r="H96" s="17">
        <v>66096.0</v>
      </c>
      <c r="I96" s="17">
        <v>53.67</v>
      </c>
      <c r="J96" s="19" t="s">
        <v>1352</v>
      </c>
      <c r="K96" s="19" t="s">
        <v>51</v>
      </c>
      <c r="L96" s="17">
        <v>30617.0</v>
      </c>
      <c r="M96" s="17">
        <v>24.86</v>
      </c>
      <c r="N96" s="17">
        <v>35479.0</v>
      </c>
      <c r="O96" s="17">
        <v>28.81</v>
      </c>
      <c r="P96" s="17">
        <v>78.31</v>
      </c>
      <c r="Q96" s="17">
        <v>158867.0</v>
      </c>
      <c r="R96" s="7"/>
      <c r="S96" s="7"/>
    </row>
    <row r="97">
      <c r="A97" s="17">
        <v>94.0</v>
      </c>
      <c r="B97" s="19" t="s">
        <v>527</v>
      </c>
      <c r="C97" s="7"/>
      <c r="D97" s="19" t="s">
        <v>573</v>
      </c>
      <c r="E97" s="19" t="s">
        <v>35</v>
      </c>
      <c r="F97" s="19" t="s">
        <v>924</v>
      </c>
      <c r="G97" s="19" t="s">
        <v>32</v>
      </c>
      <c r="H97" s="17">
        <v>48753.0</v>
      </c>
      <c r="I97" s="17">
        <v>37.33</v>
      </c>
      <c r="J97" s="19" t="s">
        <v>1354</v>
      </c>
      <c r="K97" s="19" t="s">
        <v>51</v>
      </c>
      <c r="L97" s="17">
        <v>33501.0</v>
      </c>
      <c r="M97" s="17">
        <v>25.65</v>
      </c>
      <c r="N97" s="17">
        <v>15252.0</v>
      </c>
      <c r="O97" s="17">
        <v>11.68</v>
      </c>
      <c r="P97" s="17">
        <v>83.73</v>
      </c>
      <c r="Q97" s="17">
        <v>157176.0</v>
      </c>
      <c r="R97" s="7"/>
      <c r="S97" s="7"/>
    </row>
    <row r="98">
      <c r="A98" s="17">
        <v>95.0</v>
      </c>
      <c r="B98" s="19" t="s">
        <v>528</v>
      </c>
      <c r="C98" s="7"/>
      <c r="D98" s="19" t="s">
        <v>573</v>
      </c>
      <c r="E98" s="19" t="s">
        <v>35</v>
      </c>
      <c r="F98" s="19" t="s">
        <v>998</v>
      </c>
      <c r="G98" s="19" t="s">
        <v>32</v>
      </c>
      <c r="H98" s="17">
        <v>63099.0</v>
      </c>
      <c r="I98" s="17">
        <v>46.83</v>
      </c>
      <c r="J98" s="19" t="s">
        <v>1356</v>
      </c>
      <c r="K98" s="19" t="s">
        <v>1228</v>
      </c>
      <c r="L98" s="17">
        <v>28091.0</v>
      </c>
      <c r="M98" s="17">
        <v>20.85</v>
      </c>
      <c r="N98" s="17">
        <v>35008.0</v>
      </c>
      <c r="O98" s="17">
        <v>25.98</v>
      </c>
      <c r="P98" s="17">
        <v>80.56</v>
      </c>
      <c r="Q98" s="17">
        <v>168914.0</v>
      </c>
      <c r="R98" s="7"/>
      <c r="S98" s="7"/>
    </row>
    <row r="99">
      <c r="A99" s="17">
        <v>96.0</v>
      </c>
      <c r="B99" s="19" t="s">
        <v>529</v>
      </c>
      <c r="C99" s="7"/>
      <c r="D99" s="19" t="s">
        <v>529</v>
      </c>
      <c r="E99" s="19" t="s">
        <v>35</v>
      </c>
      <c r="F99" s="19" t="s">
        <v>1076</v>
      </c>
      <c r="G99" s="19" t="s">
        <v>32</v>
      </c>
      <c r="H99" s="17">
        <v>100023.0</v>
      </c>
      <c r="I99" s="17">
        <v>57.93</v>
      </c>
      <c r="J99" s="19" t="s">
        <v>1358</v>
      </c>
      <c r="K99" s="19" t="s">
        <v>45</v>
      </c>
      <c r="L99" s="17">
        <v>36700.0</v>
      </c>
      <c r="M99" s="17">
        <v>21.25</v>
      </c>
      <c r="N99" s="17">
        <v>63323.0</v>
      </c>
      <c r="O99" s="17">
        <v>36.68</v>
      </c>
      <c r="P99" s="17">
        <v>79.25</v>
      </c>
      <c r="Q99" s="17">
        <v>219264.0</v>
      </c>
      <c r="R99" s="7"/>
      <c r="S99" s="7"/>
    </row>
    <row r="100">
      <c r="A100" s="17">
        <v>97.0</v>
      </c>
      <c r="B100" s="19" t="s">
        <v>531</v>
      </c>
      <c r="C100" s="7"/>
      <c r="D100" s="19" t="s">
        <v>529</v>
      </c>
      <c r="E100" s="19" t="s">
        <v>35</v>
      </c>
      <c r="F100" s="19" t="s">
        <v>1115</v>
      </c>
      <c r="G100" s="19" t="s">
        <v>32</v>
      </c>
      <c r="H100" s="17">
        <v>75817.0</v>
      </c>
      <c r="I100" s="17">
        <v>49.83</v>
      </c>
      <c r="J100" s="19" t="s">
        <v>1360</v>
      </c>
      <c r="K100" s="19" t="s">
        <v>45</v>
      </c>
      <c r="L100" s="17">
        <v>34446.0</v>
      </c>
      <c r="M100" s="17">
        <v>22.64</v>
      </c>
      <c r="N100" s="17">
        <v>41371.0</v>
      </c>
      <c r="O100" s="17">
        <v>27.19</v>
      </c>
      <c r="P100" s="17">
        <v>83.6</v>
      </c>
      <c r="Q100" s="17">
        <v>182806.0</v>
      </c>
      <c r="R100" s="7"/>
      <c r="S100" s="7"/>
    </row>
    <row r="101">
      <c r="A101" s="17">
        <v>98.0</v>
      </c>
      <c r="B101" s="19" t="s">
        <v>532</v>
      </c>
      <c r="C101" s="19" t="s">
        <v>1197</v>
      </c>
      <c r="D101" s="19" t="s">
        <v>529</v>
      </c>
      <c r="E101" s="19" t="s">
        <v>35</v>
      </c>
      <c r="F101" s="19" t="s">
        <v>1150</v>
      </c>
      <c r="G101" s="19" t="s">
        <v>32</v>
      </c>
      <c r="H101" s="17">
        <v>88282.0</v>
      </c>
      <c r="I101" s="17">
        <v>55.36</v>
      </c>
      <c r="J101" s="19" t="s">
        <v>1362</v>
      </c>
      <c r="K101" s="19" t="s">
        <v>51</v>
      </c>
      <c r="L101" s="17">
        <v>36591.0</v>
      </c>
      <c r="M101" s="17">
        <v>22.95</v>
      </c>
      <c r="N101" s="17">
        <v>51691.0</v>
      </c>
      <c r="O101" s="17">
        <v>32.41</v>
      </c>
      <c r="P101" s="17">
        <v>81.64</v>
      </c>
      <c r="Q101" s="17">
        <v>196478.0</v>
      </c>
      <c r="R101" s="7"/>
      <c r="S101" s="7"/>
    </row>
    <row r="102">
      <c r="A102" s="17">
        <v>99.0</v>
      </c>
      <c r="B102" s="19" t="s">
        <v>533</v>
      </c>
      <c r="C102" s="7"/>
      <c r="D102" s="19" t="s">
        <v>545</v>
      </c>
      <c r="E102" s="19" t="s">
        <v>35</v>
      </c>
      <c r="F102" s="19" t="s">
        <v>1164</v>
      </c>
      <c r="G102" s="19" t="s">
        <v>32</v>
      </c>
      <c r="H102" s="17">
        <v>60058.0</v>
      </c>
      <c r="I102" s="17">
        <v>43.93</v>
      </c>
      <c r="J102" s="19" t="s">
        <v>1364</v>
      </c>
      <c r="K102" s="19" t="s">
        <v>1365</v>
      </c>
      <c r="L102" s="17">
        <v>33540.0</v>
      </c>
      <c r="M102" s="17">
        <v>24.53</v>
      </c>
      <c r="N102" s="17">
        <v>26518.0</v>
      </c>
      <c r="O102" s="17">
        <v>19.4</v>
      </c>
      <c r="P102" s="17">
        <v>79.63</v>
      </c>
      <c r="Q102" s="17">
        <v>173020.0</v>
      </c>
      <c r="R102" s="7"/>
      <c r="S102" s="7"/>
    </row>
    <row r="103">
      <c r="A103" s="17">
        <v>100.0</v>
      </c>
      <c r="B103" s="19" t="s">
        <v>534</v>
      </c>
      <c r="C103" s="7"/>
      <c r="D103" s="19" t="s">
        <v>545</v>
      </c>
      <c r="E103" s="19" t="s">
        <v>35</v>
      </c>
      <c r="F103" s="19" t="s">
        <v>1165</v>
      </c>
      <c r="G103" s="19" t="s">
        <v>32</v>
      </c>
      <c r="H103" s="17">
        <v>82630.0</v>
      </c>
      <c r="I103" s="17">
        <v>57.28</v>
      </c>
      <c r="J103" s="19" t="s">
        <v>1368</v>
      </c>
      <c r="K103" s="19" t="s">
        <v>51</v>
      </c>
      <c r="L103" s="17">
        <v>31975.0</v>
      </c>
      <c r="M103" s="17">
        <v>22.17</v>
      </c>
      <c r="N103" s="17">
        <v>50655.0</v>
      </c>
      <c r="O103" s="17">
        <v>35.11</v>
      </c>
      <c r="P103" s="17">
        <v>79.04</v>
      </c>
      <c r="Q103" s="17">
        <v>183789.0</v>
      </c>
      <c r="R103" s="7"/>
      <c r="S103" s="7"/>
    </row>
    <row r="104">
      <c r="A104" s="17">
        <v>101.0</v>
      </c>
      <c r="B104" s="19" t="s">
        <v>536</v>
      </c>
      <c r="C104" s="7"/>
      <c r="D104" s="19" t="s">
        <v>545</v>
      </c>
      <c r="E104" s="19" t="s">
        <v>35</v>
      </c>
      <c r="F104" s="19" t="s">
        <v>1166</v>
      </c>
      <c r="G104" s="19" t="s">
        <v>32</v>
      </c>
      <c r="H104" s="17">
        <v>94794.0</v>
      </c>
      <c r="I104" s="17">
        <v>61.88</v>
      </c>
      <c r="J104" s="19" t="s">
        <v>1371</v>
      </c>
      <c r="K104" s="19" t="s">
        <v>45</v>
      </c>
      <c r="L104" s="17">
        <v>19517.0</v>
      </c>
      <c r="M104" s="17">
        <v>12.74</v>
      </c>
      <c r="N104" s="17">
        <v>75277.0</v>
      </c>
      <c r="O104" s="17">
        <v>49.14</v>
      </c>
      <c r="P104" s="17">
        <v>78.54</v>
      </c>
      <c r="Q104" s="17">
        <v>196952.0</v>
      </c>
      <c r="R104" s="7"/>
      <c r="S104" s="7"/>
    </row>
    <row r="105">
      <c r="A105" s="17">
        <v>102.0</v>
      </c>
      <c r="B105" s="19" t="s">
        <v>537</v>
      </c>
      <c r="C105" s="19" t="s">
        <v>1197</v>
      </c>
      <c r="D105" s="19" t="s">
        <v>538</v>
      </c>
      <c r="E105" s="19" t="s">
        <v>35</v>
      </c>
      <c r="F105" s="19" t="s">
        <v>1181</v>
      </c>
      <c r="G105" s="19" t="s">
        <v>32</v>
      </c>
      <c r="H105" s="17">
        <v>63967.0</v>
      </c>
      <c r="I105" s="17">
        <v>51.42</v>
      </c>
      <c r="J105" s="19" t="s">
        <v>1257</v>
      </c>
      <c r="K105" s="19" t="s">
        <v>45</v>
      </c>
      <c r="L105" s="17">
        <v>26409.0</v>
      </c>
      <c r="M105" s="17">
        <v>21.23</v>
      </c>
      <c r="N105" s="17">
        <v>37558.0</v>
      </c>
      <c r="O105" s="17">
        <v>30.19</v>
      </c>
      <c r="P105" s="17">
        <v>78.99</v>
      </c>
      <c r="Q105" s="17">
        <v>158573.0</v>
      </c>
      <c r="R105" s="7"/>
      <c r="S105" s="7"/>
    </row>
    <row r="106">
      <c r="A106" s="17">
        <v>103.0</v>
      </c>
      <c r="B106" s="19" t="s">
        <v>538</v>
      </c>
      <c r="C106" s="7"/>
      <c r="D106" s="19" t="s">
        <v>538</v>
      </c>
      <c r="E106" s="19" t="s">
        <v>35</v>
      </c>
      <c r="F106" s="19" t="s">
        <v>1374</v>
      </c>
      <c r="G106" s="19" t="s">
        <v>32</v>
      </c>
      <c r="H106" s="17">
        <v>64800.0</v>
      </c>
      <c r="I106" s="17">
        <v>49.59</v>
      </c>
      <c r="J106" s="19" t="s">
        <v>1375</v>
      </c>
      <c r="K106" s="19" t="s">
        <v>51</v>
      </c>
      <c r="L106" s="17">
        <v>27178.0</v>
      </c>
      <c r="M106" s="17">
        <v>20.8</v>
      </c>
      <c r="N106" s="17">
        <v>37622.0</v>
      </c>
      <c r="O106" s="17">
        <v>28.79</v>
      </c>
      <c r="P106" s="17">
        <v>71.81</v>
      </c>
      <c r="Q106" s="17">
        <v>183174.0</v>
      </c>
      <c r="R106" s="7"/>
      <c r="S106" s="7"/>
    </row>
    <row r="107">
      <c r="A107" s="17">
        <v>104.0</v>
      </c>
      <c r="B107" s="19" t="s">
        <v>540</v>
      </c>
      <c r="C107" s="19" t="s">
        <v>1197</v>
      </c>
      <c r="D107" s="19" t="s">
        <v>538</v>
      </c>
      <c r="E107" s="19" t="s">
        <v>35</v>
      </c>
      <c r="F107" s="19" t="s">
        <v>1224</v>
      </c>
      <c r="G107" s="19" t="s">
        <v>32</v>
      </c>
      <c r="H107" s="17">
        <v>53714.0</v>
      </c>
      <c r="I107" s="17">
        <v>46.85</v>
      </c>
      <c r="J107" s="19" t="s">
        <v>1378</v>
      </c>
      <c r="K107" s="19" t="s">
        <v>1379</v>
      </c>
      <c r="L107" s="17">
        <v>23367.0</v>
      </c>
      <c r="M107" s="17">
        <v>20.38</v>
      </c>
      <c r="N107" s="17">
        <v>30347.0</v>
      </c>
      <c r="O107" s="17">
        <v>26.47</v>
      </c>
      <c r="P107" s="17">
        <v>71.54</v>
      </c>
      <c r="Q107" s="17">
        <v>161387.0</v>
      </c>
      <c r="R107" s="7"/>
      <c r="S107" s="7"/>
    </row>
    <row r="108">
      <c r="A108" s="17">
        <v>105.0</v>
      </c>
      <c r="B108" s="19" t="s">
        <v>542</v>
      </c>
      <c r="C108" s="7"/>
      <c r="D108" s="19" t="s">
        <v>542</v>
      </c>
      <c r="E108" s="19" t="s">
        <v>35</v>
      </c>
      <c r="F108" s="19" t="s">
        <v>1239</v>
      </c>
      <c r="G108" s="19" t="s">
        <v>32</v>
      </c>
      <c r="H108" s="17">
        <v>65948.0</v>
      </c>
      <c r="I108" s="17">
        <v>52.61</v>
      </c>
      <c r="J108" s="19" t="s">
        <v>1380</v>
      </c>
      <c r="K108" s="19" t="s">
        <v>45</v>
      </c>
      <c r="L108" s="17">
        <v>44262.0</v>
      </c>
      <c r="M108" s="17">
        <v>35.31</v>
      </c>
      <c r="N108" s="17">
        <v>21686.0</v>
      </c>
      <c r="O108" s="17">
        <v>17.3</v>
      </c>
      <c r="P108" s="17">
        <v>78.59</v>
      </c>
      <c r="Q108" s="17">
        <v>160388.0</v>
      </c>
      <c r="R108" s="7"/>
      <c r="S108" s="7"/>
    </row>
    <row r="109">
      <c r="A109" s="17">
        <v>106.0</v>
      </c>
      <c r="B109" s="19" t="s">
        <v>543</v>
      </c>
      <c r="C109" s="7"/>
      <c r="D109" s="19" t="s">
        <v>542</v>
      </c>
      <c r="E109" s="19" t="s">
        <v>35</v>
      </c>
      <c r="F109" s="19" t="s">
        <v>1256</v>
      </c>
      <c r="G109" s="19" t="s">
        <v>32</v>
      </c>
      <c r="H109" s="17">
        <v>44523.0</v>
      </c>
      <c r="I109" s="17">
        <v>34.44</v>
      </c>
      <c r="J109" s="19" t="s">
        <v>1383</v>
      </c>
      <c r="K109" s="19" t="s">
        <v>1379</v>
      </c>
      <c r="L109" s="17">
        <v>38480.0</v>
      </c>
      <c r="M109" s="17">
        <v>29.77</v>
      </c>
      <c r="N109" s="17">
        <v>6043.0</v>
      </c>
      <c r="O109" s="17">
        <v>4.67</v>
      </c>
      <c r="P109" s="17">
        <v>77.95</v>
      </c>
      <c r="Q109" s="17">
        <v>166610.0</v>
      </c>
      <c r="R109" s="7"/>
      <c r="S109" s="7"/>
    </row>
    <row r="110">
      <c r="A110" s="17">
        <v>107.0</v>
      </c>
      <c r="B110" s="19" t="s">
        <v>544</v>
      </c>
      <c r="C110" s="7"/>
      <c r="D110" s="19" t="s">
        <v>545</v>
      </c>
      <c r="E110" s="19" t="s">
        <v>35</v>
      </c>
      <c r="F110" s="19" t="s">
        <v>1287</v>
      </c>
      <c r="G110" s="19" t="s">
        <v>32</v>
      </c>
      <c r="H110" s="17">
        <v>82592.0</v>
      </c>
      <c r="I110" s="17">
        <v>64.69</v>
      </c>
      <c r="J110" s="19" t="s">
        <v>1385</v>
      </c>
      <c r="K110" s="19" t="s">
        <v>45</v>
      </c>
      <c r="L110" s="17">
        <v>24386.0</v>
      </c>
      <c r="M110" s="17">
        <v>19.1</v>
      </c>
      <c r="N110" s="17">
        <v>58206.0</v>
      </c>
      <c r="O110" s="17">
        <v>45.59</v>
      </c>
      <c r="P110" s="17">
        <v>77.32</v>
      </c>
      <c r="Q110" s="17">
        <v>166143.0</v>
      </c>
      <c r="R110" s="7"/>
      <c r="S110" s="7"/>
    </row>
    <row r="111">
      <c r="A111" s="17">
        <v>108.0</v>
      </c>
      <c r="B111" s="19" t="s">
        <v>545</v>
      </c>
      <c r="C111" s="7"/>
      <c r="D111" s="19" t="s">
        <v>545</v>
      </c>
      <c r="E111" s="19" t="s">
        <v>35</v>
      </c>
      <c r="F111" s="19" t="s">
        <v>1319</v>
      </c>
      <c r="G111" s="19" t="s">
        <v>32</v>
      </c>
      <c r="H111" s="17">
        <v>74851.0</v>
      </c>
      <c r="I111" s="17">
        <v>51.96</v>
      </c>
      <c r="J111" s="19" t="s">
        <v>1387</v>
      </c>
      <c r="K111" s="19" t="s">
        <v>45</v>
      </c>
      <c r="L111" s="17">
        <v>38421.0</v>
      </c>
      <c r="M111" s="17">
        <v>26.67</v>
      </c>
      <c r="N111" s="17">
        <v>36430.0</v>
      </c>
      <c r="O111" s="17">
        <v>25.29</v>
      </c>
      <c r="P111" s="17">
        <v>76.04</v>
      </c>
      <c r="Q111" s="17">
        <v>190530.0</v>
      </c>
      <c r="R111" s="7"/>
      <c r="S111" s="7"/>
    </row>
    <row r="112">
      <c r="A112" s="17">
        <v>109.0</v>
      </c>
      <c r="B112" s="19" t="s">
        <v>547</v>
      </c>
      <c r="C112" s="19" t="s">
        <v>1197</v>
      </c>
      <c r="D112" s="19" t="s">
        <v>555</v>
      </c>
      <c r="E112" s="19" t="s">
        <v>35</v>
      </c>
      <c r="F112" s="19" t="s">
        <v>1347</v>
      </c>
      <c r="G112" s="19" t="s">
        <v>32</v>
      </c>
      <c r="H112" s="17">
        <v>82053.0</v>
      </c>
      <c r="I112" s="17">
        <v>58.03</v>
      </c>
      <c r="J112" s="19" t="s">
        <v>1388</v>
      </c>
      <c r="K112" s="19" t="s">
        <v>51</v>
      </c>
      <c r="L112" s="17">
        <v>29453.0</v>
      </c>
      <c r="M112" s="17">
        <v>20.83</v>
      </c>
      <c r="N112" s="17">
        <v>52600.0</v>
      </c>
      <c r="O112" s="17">
        <v>37.2</v>
      </c>
      <c r="P112" s="17">
        <v>77.07</v>
      </c>
      <c r="Q112" s="17">
        <v>185315.0</v>
      </c>
      <c r="R112" s="7"/>
      <c r="S112" s="7"/>
    </row>
    <row r="113">
      <c r="A113" s="17">
        <v>110.0</v>
      </c>
      <c r="B113" s="19" t="s">
        <v>548</v>
      </c>
      <c r="C113" s="7"/>
      <c r="D113" s="19" t="s">
        <v>555</v>
      </c>
      <c r="E113" s="19" t="s">
        <v>35</v>
      </c>
      <c r="F113" s="19" t="s">
        <v>1381</v>
      </c>
      <c r="G113" s="19" t="s">
        <v>32</v>
      </c>
      <c r="H113" s="17">
        <v>77155.0</v>
      </c>
      <c r="I113" s="17">
        <v>52.32</v>
      </c>
      <c r="J113" s="19" t="s">
        <v>1391</v>
      </c>
      <c r="K113" s="19" t="s">
        <v>45</v>
      </c>
      <c r="L113" s="17">
        <v>23681.0</v>
      </c>
      <c r="M113" s="17">
        <v>16.06</v>
      </c>
      <c r="N113" s="17">
        <v>53474.0</v>
      </c>
      <c r="O113" s="17">
        <v>36.26</v>
      </c>
      <c r="P113" s="17">
        <v>65.58</v>
      </c>
      <c r="Q113" s="17">
        <v>226041.0</v>
      </c>
      <c r="R113" s="7"/>
      <c r="S113" s="7"/>
    </row>
    <row r="114">
      <c r="A114" s="17">
        <v>111.0</v>
      </c>
      <c r="B114" s="19" t="s">
        <v>549</v>
      </c>
      <c r="C114" s="7"/>
      <c r="D114" s="19" t="s">
        <v>555</v>
      </c>
      <c r="E114" s="19" t="s">
        <v>35</v>
      </c>
      <c r="F114" s="19" t="s">
        <v>1392</v>
      </c>
      <c r="G114" s="19" t="s">
        <v>32</v>
      </c>
      <c r="H114" s="17">
        <v>54834.0</v>
      </c>
      <c r="I114" s="17">
        <v>40.37</v>
      </c>
      <c r="J114" s="19" t="s">
        <v>1393</v>
      </c>
      <c r="K114" s="19" t="s">
        <v>53</v>
      </c>
      <c r="L114" s="17">
        <v>32341.0</v>
      </c>
      <c r="M114" s="17">
        <v>23.81</v>
      </c>
      <c r="N114" s="17">
        <v>22493.0</v>
      </c>
      <c r="O114" s="17">
        <v>16.56</v>
      </c>
      <c r="P114" s="17">
        <v>74.86</v>
      </c>
      <c r="Q114" s="17">
        <v>182694.0</v>
      </c>
      <c r="R114" s="7"/>
      <c r="S114" s="7"/>
    </row>
    <row r="115">
      <c r="A115" s="17">
        <v>112.0</v>
      </c>
      <c r="B115" s="19" t="s">
        <v>551</v>
      </c>
      <c r="C115" s="7"/>
      <c r="D115" s="19" t="s">
        <v>472</v>
      </c>
      <c r="E115" s="19" t="s">
        <v>35</v>
      </c>
      <c r="F115" s="19" t="s">
        <v>1396</v>
      </c>
      <c r="G115" s="19" t="s">
        <v>32</v>
      </c>
      <c r="H115" s="17">
        <v>70032.0</v>
      </c>
      <c r="I115" s="17">
        <v>35.35</v>
      </c>
      <c r="J115" s="19" t="s">
        <v>1397</v>
      </c>
      <c r="K115" s="19" t="s">
        <v>45</v>
      </c>
      <c r="L115" s="17">
        <v>48311.0</v>
      </c>
      <c r="M115" s="17">
        <v>24.39</v>
      </c>
      <c r="N115" s="17">
        <v>21721.0</v>
      </c>
      <c r="O115" s="17">
        <v>10.96</v>
      </c>
      <c r="P115" s="17">
        <v>69.18</v>
      </c>
      <c r="Q115" s="17">
        <v>288440.0</v>
      </c>
      <c r="R115" s="7"/>
      <c r="S115" s="7"/>
    </row>
    <row r="116">
      <c r="A116" s="17">
        <v>113.0</v>
      </c>
      <c r="B116" s="19" t="s">
        <v>553</v>
      </c>
      <c r="C116" s="7"/>
      <c r="D116" s="19" t="s">
        <v>555</v>
      </c>
      <c r="E116" s="19" t="s">
        <v>35</v>
      </c>
      <c r="F116" s="19" t="s">
        <v>1400</v>
      </c>
      <c r="G116" s="19" t="s">
        <v>32</v>
      </c>
      <c r="H116" s="17">
        <v>62783.0</v>
      </c>
      <c r="I116" s="17">
        <v>48.62</v>
      </c>
      <c r="J116" s="19" t="s">
        <v>1402</v>
      </c>
      <c r="K116" s="19" t="s">
        <v>45</v>
      </c>
      <c r="L116" s="17">
        <v>31018.0</v>
      </c>
      <c r="M116" s="17">
        <v>24.02</v>
      </c>
      <c r="N116" s="17">
        <v>31765.0</v>
      </c>
      <c r="O116" s="17">
        <v>24.6</v>
      </c>
      <c r="P116" s="17">
        <v>78.97</v>
      </c>
      <c r="Q116" s="17">
        <v>165161.0</v>
      </c>
      <c r="R116" s="7"/>
      <c r="S116" s="7"/>
    </row>
    <row r="117">
      <c r="A117" s="17">
        <v>114.0</v>
      </c>
      <c r="B117" s="19" t="s">
        <v>554</v>
      </c>
      <c r="C117" s="7"/>
      <c r="D117" s="19" t="s">
        <v>555</v>
      </c>
      <c r="E117" s="19" t="s">
        <v>35</v>
      </c>
      <c r="F117" s="19" t="s">
        <v>1404</v>
      </c>
      <c r="G117" s="19" t="s">
        <v>32</v>
      </c>
      <c r="H117" s="17">
        <v>83893.0</v>
      </c>
      <c r="I117" s="17">
        <v>51.35</v>
      </c>
      <c r="J117" s="19" t="s">
        <v>1405</v>
      </c>
      <c r="K117" s="19" t="s">
        <v>51</v>
      </c>
      <c r="L117" s="17">
        <v>34771.0</v>
      </c>
      <c r="M117" s="17">
        <v>21.29</v>
      </c>
      <c r="N117" s="17">
        <v>49122.0</v>
      </c>
      <c r="O117" s="17">
        <v>30.06</v>
      </c>
      <c r="P117" s="17">
        <v>73.79</v>
      </c>
      <c r="Q117" s="17">
        <v>223614.0</v>
      </c>
      <c r="R117" s="7"/>
      <c r="S117" s="7"/>
    </row>
    <row r="118">
      <c r="A118" s="17">
        <v>115.0</v>
      </c>
      <c r="B118" s="19" t="s">
        <v>555</v>
      </c>
      <c r="C118" s="7"/>
      <c r="D118" s="19" t="s">
        <v>555</v>
      </c>
      <c r="E118" s="19" t="s">
        <v>35</v>
      </c>
      <c r="F118" s="19" t="s">
        <v>1406</v>
      </c>
      <c r="G118" s="19" t="s">
        <v>32</v>
      </c>
      <c r="H118" s="17">
        <v>48104.0</v>
      </c>
      <c r="I118" s="17">
        <v>46.83</v>
      </c>
      <c r="J118" s="19" t="s">
        <v>1407</v>
      </c>
      <c r="K118" s="19" t="s">
        <v>556</v>
      </c>
      <c r="L118" s="17">
        <v>28231.0</v>
      </c>
      <c r="M118" s="17">
        <v>27.48</v>
      </c>
      <c r="N118" s="17">
        <v>19873.0</v>
      </c>
      <c r="O118" s="17">
        <v>19.35</v>
      </c>
      <c r="P118" s="17">
        <v>64.03</v>
      </c>
      <c r="Q118" s="17">
        <v>161609.0</v>
      </c>
      <c r="R118" s="7"/>
      <c r="S118" s="7"/>
    </row>
    <row r="119">
      <c r="A119" s="17">
        <v>116.0</v>
      </c>
      <c r="B119" s="19" t="s">
        <v>557</v>
      </c>
      <c r="C119" s="7"/>
      <c r="D119" s="19" t="s">
        <v>555</v>
      </c>
      <c r="E119" s="19" t="s">
        <v>35</v>
      </c>
      <c r="F119" s="19" t="s">
        <v>1408</v>
      </c>
      <c r="G119" s="19" t="s">
        <v>32</v>
      </c>
      <c r="H119" s="17">
        <v>74375.0</v>
      </c>
      <c r="I119" s="17">
        <v>50.52</v>
      </c>
      <c r="J119" s="19" t="s">
        <v>1409</v>
      </c>
      <c r="K119" s="19" t="s">
        <v>51</v>
      </c>
      <c r="L119" s="17">
        <v>34662.0</v>
      </c>
      <c r="M119" s="17">
        <v>23.55</v>
      </c>
      <c r="N119" s="17">
        <v>39713.0</v>
      </c>
      <c r="O119" s="17">
        <v>26.97</v>
      </c>
      <c r="P119" s="17">
        <v>76.81</v>
      </c>
      <c r="Q119" s="17">
        <v>193141.0</v>
      </c>
      <c r="R119" s="7"/>
      <c r="S119" s="7"/>
    </row>
    <row r="120">
      <c r="A120" s="17">
        <v>117.0</v>
      </c>
      <c r="B120" s="19" t="s">
        <v>559</v>
      </c>
      <c r="C120" s="19" t="s">
        <v>1197</v>
      </c>
      <c r="D120" s="19" t="s">
        <v>555</v>
      </c>
      <c r="E120" s="19" t="s">
        <v>35</v>
      </c>
      <c r="F120" s="19" t="s">
        <v>1410</v>
      </c>
      <c r="G120" s="19" t="s">
        <v>32</v>
      </c>
      <c r="H120" s="17">
        <v>81751.0</v>
      </c>
      <c r="I120" s="17">
        <v>60.02</v>
      </c>
      <c r="J120" s="19" t="s">
        <v>1411</v>
      </c>
      <c r="K120" s="19" t="s">
        <v>51</v>
      </c>
      <c r="L120" s="17">
        <v>30197.0</v>
      </c>
      <c r="M120" s="17">
        <v>22.17</v>
      </c>
      <c r="N120" s="17">
        <v>51554.0</v>
      </c>
      <c r="O120" s="17">
        <v>37.85</v>
      </c>
      <c r="P120" s="17">
        <v>75.54</v>
      </c>
      <c r="Q120" s="17">
        <v>182335.0</v>
      </c>
      <c r="R120" s="7"/>
      <c r="S120" s="7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4" max="4" width="14.0"/>
    <col customWidth="1" min="6" max="6" width="29.13"/>
    <col customWidth="1" min="10" max="10" width="24.75"/>
  </cols>
  <sheetData>
    <row r="1">
      <c r="A1" s="2" t="s">
        <v>1252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>
      <c r="A3" s="9" t="s">
        <v>1182</v>
      </c>
      <c r="B3" s="9" t="s">
        <v>1183</v>
      </c>
      <c r="C3" s="9" t="s">
        <v>310</v>
      </c>
      <c r="D3" s="9" t="s">
        <v>36</v>
      </c>
      <c r="E3" s="9" t="s">
        <v>9</v>
      </c>
      <c r="F3" s="9" t="s">
        <v>1184</v>
      </c>
      <c r="G3" s="9" t="s">
        <v>1185</v>
      </c>
      <c r="H3" s="9" t="s">
        <v>1186</v>
      </c>
      <c r="I3" s="14" t="s">
        <v>1187</v>
      </c>
      <c r="J3" s="9" t="s">
        <v>1188</v>
      </c>
      <c r="K3" s="9" t="s">
        <v>1189</v>
      </c>
      <c r="L3" s="9" t="s">
        <v>1190</v>
      </c>
      <c r="M3" s="14" t="s">
        <v>1258</v>
      </c>
      <c r="N3" s="9" t="s">
        <v>1192</v>
      </c>
      <c r="O3" s="9" t="s">
        <v>1193</v>
      </c>
      <c r="P3" s="9" t="s">
        <v>1194</v>
      </c>
    </row>
    <row r="4">
      <c r="A4" s="17">
        <v>1.0</v>
      </c>
      <c r="B4" s="19" t="s">
        <v>59</v>
      </c>
      <c r="C4" s="7"/>
      <c r="D4" s="19" t="s">
        <v>60</v>
      </c>
      <c r="E4" s="19" t="s">
        <v>61</v>
      </c>
      <c r="F4" s="19" t="s">
        <v>1260</v>
      </c>
      <c r="G4" s="19" t="s">
        <v>53</v>
      </c>
      <c r="H4" s="17">
        <v>48910.0</v>
      </c>
      <c r="I4" s="17">
        <v>39.33</v>
      </c>
      <c r="J4" s="19" t="s">
        <v>1261</v>
      </c>
      <c r="K4" s="19" t="s">
        <v>45</v>
      </c>
      <c r="L4" s="17">
        <v>30209.0</v>
      </c>
      <c r="M4" s="17">
        <v>24.29</v>
      </c>
      <c r="N4" s="17">
        <v>18701.0</v>
      </c>
      <c r="O4" s="17">
        <v>15.04</v>
      </c>
      <c r="P4" s="17">
        <v>78.21</v>
      </c>
    </row>
    <row r="5">
      <c r="A5" s="17">
        <v>2.0</v>
      </c>
      <c r="B5" s="19" t="s">
        <v>216</v>
      </c>
      <c r="C5" s="19" t="s">
        <v>1197</v>
      </c>
      <c r="D5" s="19" t="s">
        <v>60</v>
      </c>
      <c r="E5" s="19" t="s">
        <v>61</v>
      </c>
      <c r="F5" s="19" t="s">
        <v>1198</v>
      </c>
      <c r="G5" s="19" t="s">
        <v>45</v>
      </c>
      <c r="H5" s="17">
        <v>67865.0</v>
      </c>
      <c r="I5" s="17">
        <v>51.95</v>
      </c>
      <c r="J5" s="19" t="s">
        <v>1263</v>
      </c>
      <c r="K5" s="19" t="s">
        <v>53</v>
      </c>
      <c r="L5" s="17">
        <v>40369.0</v>
      </c>
      <c r="M5" s="17">
        <v>30.9</v>
      </c>
      <c r="N5" s="17">
        <v>27496.0</v>
      </c>
      <c r="O5" s="17">
        <v>21.05</v>
      </c>
      <c r="P5" s="17">
        <v>74.94</v>
      </c>
    </row>
    <row r="6">
      <c r="A6" s="17">
        <v>3.0</v>
      </c>
      <c r="B6" s="19" t="s">
        <v>60</v>
      </c>
      <c r="C6" s="7"/>
      <c r="D6" s="19" t="s">
        <v>60</v>
      </c>
      <c r="E6" s="19" t="s">
        <v>61</v>
      </c>
      <c r="F6" s="19" t="s">
        <v>1265</v>
      </c>
      <c r="G6" s="19" t="s">
        <v>45</v>
      </c>
      <c r="H6" s="17">
        <v>56383.0</v>
      </c>
      <c r="I6" s="17">
        <v>51.28</v>
      </c>
      <c r="J6" s="19" t="s">
        <v>1266</v>
      </c>
      <c r="K6" s="19" t="s">
        <v>53</v>
      </c>
      <c r="L6" s="17">
        <v>45213.0</v>
      </c>
      <c r="M6" s="17">
        <v>41.12</v>
      </c>
      <c r="N6" s="17">
        <v>11170.0</v>
      </c>
      <c r="O6" s="17">
        <v>10.16</v>
      </c>
      <c r="P6" s="17">
        <v>75.51</v>
      </c>
    </row>
    <row r="7">
      <c r="A7" s="17">
        <v>4.0</v>
      </c>
      <c r="B7" s="19" t="s">
        <v>244</v>
      </c>
      <c r="C7" s="7"/>
      <c r="D7" s="19" t="s">
        <v>244</v>
      </c>
      <c r="E7" s="19" t="s">
        <v>61</v>
      </c>
      <c r="F7" s="19" t="s">
        <v>245</v>
      </c>
      <c r="G7" s="19" t="s">
        <v>45</v>
      </c>
      <c r="H7" s="17">
        <v>67709.0</v>
      </c>
      <c r="I7" s="17">
        <v>57.97</v>
      </c>
      <c r="J7" s="19" t="s">
        <v>1201</v>
      </c>
      <c r="K7" s="19" t="s">
        <v>51</v>
      </c>
      <c r="L7" s="17">
        <v>38753.0</v>
      </c>
      <c r="M7" s="17">
        <v>33.18</v>
      </c>
      <c r="N7" s="17">
        <v>28956.0</v>
      </c>
      <c r="O7" s="17">
        <v>24.79</v>
      </c>
      <c r="P7" s="17">
        <v>75.23</v>
      </c>
    </row>
    <row r="8">
      <c r="A8" s="17">
        <v>5.0</v>
      </c>
      <c r="B8" s="19" t="s">
        <v>249</v>
      </c>
      <c r="C8" s="19" t="s">
        <v>1197</v>
      </c>
      <c r="D8" s="19" t="s">
        <v>244</v>
      </c>
      <c r="E8" s="19" t="s">
        <v>61</v>
      </c>
      <c r="F8" s="19" t="s">
        <v>250</v>
      </c>
      <c r="G8" s="19" t="s">
        <v>45</v>
      </c>
      <c r="H8" s="17">
        <v>72176.0</v>
      </c>
      <c r="I8" s="17">
        <v>55.82</v>
      </c>
      <c r="J8" s="19" t="s">
        <v>1270</v>
      </c>
      <c r="K8" s="19" t="s">
        <v>53</v>
      </c>
      <c r="L8" s="17">
        <v>40259.0</v>
      </c>
      <c r="M8" s="17">
        <v>31.13</v>
      </c>
      <c r="N8" s="17">
        <v>31917.0</v>
      </c>
      <c r="O8" s="17">
        <v>24.69</v>
      </c>
      <c r="P8" s="17">
        <v>71.13</v>
      </c>
    </row>
    <row r="9">
      <c r="A9" s="17">
        <v>6.0</v>
      </c>
      <c r="B9" s="19" t="s">
        <v>253</v>
      </c>
      <c r="C9" s="7"/>
      <c r="D9" s="19" t="s">
        <v>244</v>
      </c>
      <c r="E9" s="19" t="s">
        <v>61</v>
      </c>
      <c r="F9" s="19" t="s">
        <v>1272</v>
      </c>
      <c r="G9" s="19" t="s">
        <v>45</v>
      </c>
      <c r="H9" s="17">
        <v>62596.0</v>
      </c>
      <c r="I9" s="17">
        <v>47.83</v>
      </c>
      <c r="J9" s="19" t="s">
        <v>1273</v>
      </c>
      <c r="K9" s="19" t="s">
        <v>51</v>
      </c>
      <c r="L9" s="17">
        <v>50859.0</v>
      </c>
      <c r="M9" s="17">
        <v>38.86</v>
      </c>
      <c r="N9" s="17">
        <v>11737.0</v>
      </c>
      <c r="O9" s="17">
        <v>8.97</v>
      </c>
      <c r="P9" s="17">
        <v>74.23</v>
      </c>
    </row>
    <row r="10">
      <c r="A10" s="17">
        <v>7.0</v>
      </c>
      <c r="B10" s="19" t="s">
        <v>256</v>
      </c>
      <c r="C10" s="7"/>
      <c r="D10" s="19" t="s">
        <v>244</v>
      </c>
      <c r="E10" s="19" t="s">
        <v>61</v>
      </c>
      <c r="F10" s="19" t="s">
        <v>1206</v>
      </c>
      <c r="G10" s="19" t="s">
        <v>51</v>
      </c>
      <c r="H10" s="17">
        <v>42517.0</v>
      </c>
      <c r="I10" s="17">
        <v>34.65</v>
      </c>
      <c r="J10" s="19" t="s">
        <v>1204</v>
      </c>
      <c r="K10" s="19" t="s">
        <v>45</v>
      </c>
      <c r="L10" s="17">
        <v>42032.0</v>
      </c>
      <c r="M10" s="17">
        <v>34.25</v>
      </c>
      <c r="N10" s="17">
        <v>485.0</v>
      </c>
      <c r="O10" s="17">
        <v>0.4</v>
      </c>
      <c r="P10" s="17">
        <v>69.43</v>
      </c>
    </row>
    <row r="11">
      <c r="A11" s="17">
        <v>8.0</v>
      </c>
      <c r="B11" s="19" t="s">
        <v>260</v>
      </c>
      <c r="C11" s="19" t="s">
        <v>1197</v>
      </c>
      <c r="D11" s="19" t="s">
        <v>244</v>
      </c>
      <c r="E11" s="19" t="s">
        <v>61</v>
      </c>
      <c r="F11" s="19" t="s">
        <v>1277</v>
      </c>
      <c r="G11" s="19" t="s">
        <v>45</v>
      </c>
      <c r="H11" s="17">
        <v>57489.0</v>
      </c>
      <c r="I11" s="17">
        <v>46.48</v>
      </c>
      <c r="J11" s="19" t="s">
        <v>1278</v>
      </c>
      <c r="K11" s="19" t="s">
        <v>51</v>
      </c>
      <c r="L11" s="17">
        <v>39424.0</v>
      </c>
      <c r="M11" s="17">
        <v>31.88</v>
      </c>
      <c r="N11" s="17">
        <v>18065.0</v>
      </c>
      <c r="O11" s="17">
        <v>14.6</v>
      </c>
      <c r="P11" s="17">
        <v>72.56</v>
      </c>
    </row>
    <row r="12">
      <c r="A12" s="17">
        <v>9.0</v>
      </c>
      <c r="B12" s="19" t="s">
        <v>263</v>
      </c>
      <c r="C12" s="7"/>
      <c r="D12" s="19" t="s">
        <v>244</v>
      </c>
      <c r="E12" s="19" t="s">
        <v>61</v>
      </c>
      <c r="F12" s="19" t="s">
        <v>264</v>
      </c>
      <c r="G12" s="19" t="s">
        <v>45</v>
      </c>
      <c r="H12" s="17">
        <v>54348.0</v>
      </c>
      <c r="I12" s="17">
        <v>43.99</v>
      </c>
      <c r="J12" s="19" t="s">
        <v>1280</v>
      </c>
      <c r="K12" s="19" t="s">
        <v>51</v>
      </c>
      <c r="L12" s="17">
        <v>52349.0</v>
      </c>
      <c r="M12" s="17">
        <v>42.37</v>
      </c>
      <c r="N12" s="17">
        <v>1999.0</v>
      </c>
      <c r="O12" s="17">
        <v>1.62</v>
      </c>
      <c r="P12" s="17">
        <v>74.74</v>
      </c>
    </row>
    <row r="13">
      <c r="A13" s="17">
        <v>10.0</v>
      </c>
      <c r="B13" s="19" t="s">
        <v>252</v>
      </c>
      <c r="C13" s="7"/>
      <c r="D13" s="19" t="s">
        <v>244</v>
      </c>
      <c r="E13" s="19" t="s">
        <v>61</v>
      </c>
      <c r="F13" s="19" t="s">
        <v>1207</v>
      </c>
      <c r="G13" s="19" t="s">
        <v>45</v>
      </c>
      <c r="H13" s="17">
        <v>60385.0</v>
      </c>
      <c r="I13" s="17">
        <v>43.12</v>
      </c>
      <c r="J13" s="19" t="s">
        <v>1282</v>
      </c>
      <c r="K13" s="19" t="s">
        <v>51</v>
      </c>
      <c r="L13" s="17">
        <v>59191.0</v>
      </c>
      <c r="M13" s="17">
        <v>42.27</v>
      </c>
      <c r="N13" s="17">
        <v>1194.0</v>
      </c>
      <c r="O13" s="17">
        <v>0.85</v>
      </c>
      <c r="P13" s="17">
        <v>76.49</v>
      </c>
    </row>
    <row r="14">
      <c r="A14" s="17">
        <v>11.0</v>
      </c>
      <c r="B14" s="19" t="s">
        <v>271</v>
      </c>
      <c r="C14" s="7"/>
      <c r="D14" s="19" t="s">
        <v>272</v>
      </c>
      <c r="E14" s="19" t="s">
        <v>61</v>
      </c>
      <c r="F14" s="19" t="s">
        <v>1285</v>
      </c>
      <c r="G14" s="19" t="s">
        <v>45</v>
      </c>
      <c r="H14" s="17">
        <v>61378.0</v>
      </c>
      <c r="I14" s="17">
        <v>50.79</v>
      </c>
      <c r="J14" s="19" t="s">
        <v>1286</v>
      </c>
      <c r="K14" s="19" t="s">
        <v>51</v>
      </c>
      <c r="L14" s="17">
        <v>42665.0</v>
      </c>
      <c r="M14" s="17">
        <v>35.31</v>
      </c>
      <c r="N14" s="17">
        <v>18713.0</v>
      </c>
      <c r="O14" s="17">
        <v>15.48</v>
      </c>
      <c r="P14" s="17">
        <v>81.95</v>
      </c>
    </row>
    <row r="15">
      <c r="A15" s="17">
        <v>12.0</v>
      </c>
      <c r="B15" s="19" t="s">
        <v>276</v>
      </c>
      <c r="C15" s="7"/>
      <c r="D15" s="19" t="s">
        <v>272</v>
      </c>
      <c r="E15" s="19" t="s">
        <v>61</v>
      </c>
      <c r="F15" s="19" t="s">
        <v>277</v>
      </c>
      <c r="G15" s="19" t="s">
        <v>45</v>
      </c>
      <c r="H15" s="17">
        <v>59628.0</v>
      </c>
      <c r="I15" s="17">
        <v>45.49</v>
      </c>
      <c r="J15" s="19" t="s">
        <v>1211</v>
      </c>
      <c r="K15" s="19" t="s">
        <v>51</v>
      </c>
      <c r="L15" s="17">
        <v>53901.0</v>
      </c>
      <c r="M15" s="17">
        <v>41.12</v>
      </c>
      <c r="N15" s="17">
        <v>5727.0</v>
      </c>
      <c r="O15" s="17">
        <v>4.37</v>
      </c>
      <c r="P15" s="17">
        <v>78.41</v>
      </c>
    </row>
    <row r="16">
      <c r="A16" s="17">
        <v>13.0</v>
      </c>
      <c r="B16" s="19" t="s">
        <v>279</v>
      </c>
      <c r="C16" s="7"/>
      <c r="D16" s="19" t="s">
        <v>272</v>
      </c>
      <c r="E16" s="19" t="s">
        <v>61</v>
      </c>
      <c r="F16" s="19" t="s">
        <v>1290</v>
      </c>
      <c r="G16" s="19" t="s">
        <v>51</v>
      </c>
      <c r="H16" s="17">
        <v>65803.0</v>
      </c>
      <c r="I16" s="17">
        <v>54.08</v>
      </c>
      <c r="J16" s="19" t="s">
        <v>1212</v>
      </c>
      <c r="K16" s="19" t="s">
        <v>45</v>
      </c>
      <c r="L16" s="17">
        <v>42919.0</v>
      </c>
      <c r="M16" s="17">
        <v>35.27</v>
      </c>
      <c r="N16" s="17">
        <v>22884.0</v>
      </c>
      <c r="O16" s="17">
        <v>18.81</v>
      </c>
      <c r="P16" s="17">
        <v>76.56</v>
      </c>
    </row>
    <row r="17">
      <c r="A17" s="17">
        <v>14.0</v>
      </c>
      <c r="B17" s="19" t="s">
        <v>282</v>
      </c>
      <c r="C17" s="19" t="s">
        <v>1197</v>
      </c>
      <c r="D17" s="19" t="s">
        <v>272</v>
      </c>
      <c r="E17" s="19" t="s">
        <v>61</v>
      </c>
      <c r="F17" s="19" t="s">
        <v>1292</v>
      </c>
      <c r="G17" s="19" t="s">
        <v>45</v>
      </c>
      <c r="H17" s="17">
        <v>53042.0</v>
      </c>
      <c r="I17" s="17">
        <v>42.5</v>
      </c>
      <c r="J17" s="19" t="s">
        <v>1293</v>
      </c>
      <c r="K17" s="19" t="s">
        <v>51</v>
      </c>
      <c r="L17" s="17">
        <v>34620.0</v>
      </c>
      <c r="M17" s="17">
        <v>27.74</v>
      </c>
      <c r="N17" s="17">
        <v>18422.0</v>
      </c>
      <c r="O17" s="17">
        <v>14.76</v>
      </c>
      <c r="P17" s="17">
        <v>73.58</v>
      </c>
    </row>
    <row r="18">
      <c r="A18" s="17">
        <v>15.0</v>
      </c>
      <c r="B18" s="19" t="s">
        <v>300</v>
      </c>
      <c r="C18" s="7"/>
      <c r="D18" s="19" t="s">
        <v>272</v>
      </c>
      <c r="E18" s="19" t="s">
        <v>61</v>
      </c>
      <c r="F18" s="19" t="s">
        <v>1296</v>
      </c>
      <c r="G18" s="19" t="s">
        <v>45</v>
      </c>
      <c r="H18" s="17">
        <v>59212.0</v>
      </c>
      <c r="I18" s="17">
        <v>50.56</v>
      </c>
      <c r="J18" s="19" t="s">
        <v>1214</v>
      </c>
      <c r="K18" s="19" t="s">
        <v>53</v>
      </c>
      <c r="L18" s="17">
        <v>44976.0</v>
      </c>
      <c r="M18" s="17">
        <v>38.4</v>
      </c>
      <c r="N18" s="17">
        <v>14236.0</v>
      </c>
      <c r="O18" s="17">
        <v>12.16</v>
      </c>
      <c r="P18" s="17">
        <v>66.58</v>
      </c>
    </row>
    <row r="19">
      <c r="A19" s="17">
        <v>16.0</v>
      </c>
      <c r="B19" s="19" t="s">
        <v>314</v>
      </c>
      <c r="C19" s="19" t="s">
        <v>1197</v>
      </c>
      <c r="D19" s="19" t="s">
        <v>272</v>
      </c>
      <c r="E19" s="19" t="s">
        <v>61</v>
      </c>
      <c r="F19" s="19" t="s">
        <v>1215</v>
      </c>
      <c r="G19" s="19" t="s">
        <v>45</v>
      </c>
      <c r="H19" s="17">
        <v>52271.0</v>
      </c>
      <c r="I19" s="17">
        <v>48.97</v>
      </c>
      <c r="J19" s="19" t="s">
        <v>1298</v>
      </c>
      <c r="K19" s="19" t="s">
        <v>53</v>
      </c>
      <c r="L19" s="17">
        <v>25424.0</v>
      </c>
      <c r="M19" s="17">
        <v>23.82</v>
      </c>
      <c r="N19" s="17">
        <v>26847.0</v>
      </c>
      <c r="O19" s="17">
        <v>25.15</v>
      </c>
      <c r="P19" s="17">
        <v>59.38</v>
      </c>
    </row>
    <row r="20">
      <c r="A20" s="17">
        <v>17.0</v>
      </c>
      <c r="B20" s="19" t="s">
        <v>332</v>
      </c>
      <c r="C20" s="7"/>
      <c r="D20" s="19" t="s">
        <v>272</v>
      </c>
      <c r="E20" s="19" t="s">
        <v>61</v>
      </c>
      <c r="F20" s="19" t="s">
        <v>1216</v>
      </c>
      <c r="G20" s="19" t="s">
        <v>45</v>
      </c>
      <c r="H20" s="17">
        <v>51242.0</v>
      </c>
      <c r="I20" s="17">
        <v>57.07</v>
      </c>
      <c r="J20" s="19" t="s">
        <v>1300</v>
      </c>
      <c r="K20" s="19" t="s">
        <v>53</v>
      </c>
      <c r="L20" s="17">
        <v>30126.0</v>
      </c>
      <c r="M20" s="17">
        <v>33.55</v>
      </c>
      <c r="N20" s="17">
        <v>21116.0</v>
      </c>
      <c r="O20" s="17">
        <v>23.52</v>
      </c>
      <c r="P20" s="17">
        <v>66.05</v>
      </c>
    </row>
    <row r="21">
      <c r="A21" s="17">
        <v>18.0</v>
      </c>
      <c r="B21" s="19" t="s">
        <v>262</v>
      </c>
      <c r="C21" s="7"/>
      <c r="D21" s="19" t="s">
        <v>272</v>
      </c>
      <c r="E21" s="19" t="s">
        <v>61</v>
      </c>
      <c r="F21" s="19" t="s">
        <v>1217</v>
      </c>
      <c r="G21" s="19" t="s">
        <v>45</v>
      </c>
      <c r="H21" s="17">
        <v>60477.0</v>
      </c>
      <c r="I21" s="17">
        <v>61.01</v>
      </c>
      <c r="J21" s="19" t="s">
        <v>1302</v>
      </c>
      <c r="K21" s="19" t="s">
        <v>53</v>
      </c>
      <c r="L21" s="17">
        <v>17668.0</v>
      </c>
      <c r="M21" s="17">
        <v>17.82</v>
      </c>
      <c r="N21" s="17">
        <v>42809.0</v>
      </c>
      <c r="O21" s="17">
        <v>43.19</v>
      </c>
      <c r="P21" s="17">
        <v>64.52</v>
      </c>
    </row>
    <row r="22">
      <c r="A22" s="17">
        <v>19.0</v>
      </c>
      <c r="B22" s="19" t="s">
        <v>396</v>
      </c>
      <c r="C22" s="7"/>
      <c r="D22" s="19" t="s">
        <v>272</v>
      </c>
      <c r="E22" s="19" t="s">
        <v>61</v>
      </c>
      <c r="F22" s="19" t="s">
        <v>1304</v>
      </c>
      <c r="G22" s="19" t="s">
        <v>45</v>
      </c>
      <c r="H22" s="17">
        <v>47581.0</v>
      </c>
      <c r="I22" s="17">
        <v>51.36</v>
      </c>
      <c r="J22" s="19" t="s">
        <v>397</v>
      </c>
      <c r="K22" s="19" t="s">
        <v>32</v>
      </c>
      <c r="L22" s="17">
        <v>24923.0</v>
      </c>
      <c r="M22" s="17">
        <v>26.9</v>
      </c>
      <c r="N22" s="17">
        <v>22658.0</v>
      </c>
      <c r="O22" s="17">
        <v>24.46</v>
      </c>
      <c r="P22" s="17">
        <v>62.25</v>
      </c>
    </row>
    <row r="23">
      <c r="A23" s="17">
        <v>20.0</v>
      </c>
      <c r="B23" s="19" t="s">
        <v>398</v>
      </c>
      <c r="C23" s="19" t="s">
        <v>1197</v>
      </c>
      <c r="D23" s="19" t="s">
        <v>272</v>
      </c>
      <c r="E23" s="19" t="s">
        <v>61</v>
      </c>
      <c r="F23" s="19" t="s">
        <v>1306</v>
      </c>
      <c r="G23" s="19" t="s">
        <v>45</v>
      </c>
      <c r="H23" s="17">
        <v>55335.0</v>
      </c>
      <c r="I23" s="17">
        <v>42.82</v>
      </c>
      <c r="J23" s="19" t="s">
        <v>1219</v>
      </c>
      <c r="K23" s="19" t="s">
        <v>51</v>
      </c>
      <c r="L23" s="17">
        <v>45133.0</v>
      </c>
      <c r="M23" s="17">
        <v>34.92</v>
      </c>
      <c r="N23" s="17">
        <v>10202.0</v>
      </c>
      <c r="O23" s="17">
        <v>7.9</v>
      </c>
      <c r="P23" s="17">
        <v>74.46</v>
      </c>
    </row>
    <row r="24">
      <c r="A24" s="17">
        <v>21.0</v>
      </c>
      <c r="B24" s="19" t="s">
        <v>400</v>
      </c>
      <c r="C24" s="7"/>
      <c r="D24" s="19" t="s">
        <v>400</v>
      </c>
      <c r="E24" s="19" t="s">
        <v>61</v>
      </c>
      <c r="F24" s="19" t="s">
        <v>1308</v>
      </c>
      <c r="G24" s="19" t="s">
        <v>45</v>
      </c>
      <c r="H24" s="17">
        <v>59794.0</v>
      </c>
      <c r="I24" s="17">
        <v>45.39</v>
      </c>
      <c r="J24" s="19" t="s">
        <v>401</v>
      </c>
      <c r="K24" s="19" t="s">
        <v>51</v>
      </c>
      <c r="L24" s="17">
        <v>45165.0</v>
      </c>
      <c r="M24" s="17">
        <v>34.29</v>
      </c>
      <c r="N24" s="17">
        <v>14629.0</v>
      </c>
      <c r="O24" s="17">
        <v>11.1</v>
      </c>
      <c r="P24" s="17">
        <v>71.76</v>
      </c>
    </row>
    <row r="25">
      <c r="A25" s="17">
        <v>22.0</v>
      </c>
      <c r="B25" s="19" t="s">
        <v>402</v>
      </c>
      <c r="C25" s="7"/>
      <c r="D25" s="19" t="s">
        <v>400</v>
      </c>
      <c r="E25" s="19" t="s">
        <v>61</v>
      </c>
      <c r="F25" s="19" t="s">
        <v>1310</v>
      </c>
      <c r="G25" s="19" t="s">
        <v>45</v>
      </c>
      <c r="H25" s="17">
        <v>81897.0</v>
      </c>
      <c r="I25" s="17">
        <v>53.52</v>
      </c>
      <c r="J25" s="19" t="s">
        <v>1311</v>
      </c>
      <c r="K25" s="19" t="s">
        <v>51</v>
      </c>
      <c r="L25" s="17">
        <v>62295.0</v>
      </c>
      <c r="M25" s="17">
        <v>40.71</v>
      </c>
      <c r="N25" s="17">
        <v>19602.0</v>
      </c>
      <c r="O25" s="17">
        <v>12.81</v>
      </c>
      <c r="P25" s="17">
        <v>76.81</v>
      </c>
    </row>
    <row r="26">
      <c r="A26" s="17">
        <v>23.0</v>
      </c>
      <c r="B26" s="19" t="s">
        <v>404</v>
      </c>
      <c r="C26" s="7"/>
      <c r="D26" s="19" t="s">
        <v>400</v>
      </c>
      <c r="E26" s="19" t="s">
        <v>61</v>
      </c>
      <c r="F26" s="19" t="s">
        <v>1313</v>
      </c>
      <c r="G26" s="19" t="s">
        <v>45</v>
      </c>
      <c r="H26" s="17">
        <v>64617.0</v>
      </c>
      <c r="I26" s="17">
        <v>45.3</v>
      </c>
      <c r="J26" s="19" t="s">
        <v>1314</v>
      </c>
      <c r="K26" s="19" t="s">
        <v>51</v>
      </c>
      <c r="L26" s="17">
        <v>56254.0</v>
      </c>
      <c r="M26" s="17">
        <v>39.44</v>
      </c>
      <c r="N26" s="17">
        <v>8363.0</v>
      </c>
      <c r="O26" s="17">
        <v>5.86</v>
      </c>
      <c r="P26" s="17">
        <v>75.14</v>
      </c>
    </row>
    <row r="27">
      <c r="A27" s="17">
        <v>24.0</v>
      </c>
      <c r="B27" s="19" t="s">
        <v>406</v>
      </c>
      <c r="C27" s="7"/>
      <c r="D27" s="19" t="s">
        <v>400</v>
      </c>
      <c r="E27" s="19" t="s">
        <v>61</v>
      </c>
      <c r="F27" s="19" t="s">
        <v>1223</v>
      </c>
      <c r="G27" s="19" t="s">
        <v>45</v>
      </c>
      <c r="H27" s="17">
        <v>64666.0</v>
      </c>
      <c r="I27" s="17">
        <v>44.43</v>
      </c>
      <c r="J27" s="19" t="s">
        <v>1316</v>
      </c>
      <c r="K27" s="19" t="s">
        <v>51</v>
      </c>
      <c r="L27" s="17">
        <v>47611.0</v>
      </c>
      <c r="M27" s="17">
        <v>32.71</v>
      </c>
      <c r="N27" s="17">
        <v>17055.0</v>
      </c>
      <c r="O27" s="17">
        <v>11.72</v>
      </c>
      <c r="P27" s="17">
        <v>74.88</v>
      </c>
    </row>
    <row r="28">
      <c r="A28" s="17">
        <v>25.0</v>
      </c>
      <c r="B28" s="19" t="s">
        <v>408</v>
      </c>
      <c r="C28" s="19" t="s">
        <v>1197</v>
      </c>
      <c r="D28" s="19" t="s">
        <v>272</v>
      </c>
      <c r="E28" s="19" t="s">
        <v>61</v>
      </c>
      <c r="F28" s="19" t="s">
        <v>1318</v>
      </c>
      <c r="G28" s="19" t="s">
        <v>45</v>
      </c>
      <c r="H28" s="17">
        <v>45965.0</v>
      </c>
      <c r="I28" s="17">
        <v>35.43</v>
      </c>
      <c r="J28" s="19" t="s">
        <v>409</v>
      </c>
      <c r="K28" s="19" t="s">
        <v>32</v>
      </c>
      <c r="L28" s="17">
        <v>39378.0</v>
      </c>
      <c r="M28" s="17">
        <v>30.35</v>
      </c>
      <c r="N28" s="17">
        <v>6587.0</v>
      </c>
      <c r="O28" s="17">
        <v>5.08</v>
      </c>
      <c r="P28" s="17">
        <v>68.95</v>
      </c>
    </row>
    <row r="29">
      <c r="A29" s="17">
        <v>26.0</v>
      </c>
      <c r="B29" s="19" t="s">
        <v>410</v>
      </c>
      <c r="C29" s="7"/>
      <c r="D29" s="19" t="s">
        <v>411</v>
      </c>
      <c r="E29" s="19" t="s">
        <v>127</v>
      </c>
      <c r="F29" s="19" t="s">
        <v>412</v>
      </c>
      <c r="G29" s="19" t="s">
        <v>32</v>
      </c>
      <c r="H29" s="17">
        <v>48873.0</v>
      </c>
      <c r="I29" s="17">
        <v>50.09</v>
      </c>
      <c r="J29" s="19" t="s">
        <v>1321</v>
      </c>
      <c r="K29" s="19" t="s">
        <v>51</v>
      </c>
      <c r="L29" s="17">
        <v>40671.0</v>
      </c>
      <c r="M29" s="17">
        <v>41.68</v>
      </c>
      <c r="N29" s="17">
        <v>8202.0</v>
      </c>
      <c r="O29" s="17">
        <v>8.41</v>
      </c>
      <c r="P29" s="17">
        <v>74.58</v>
      </c>
    </row>
    <row r="30">
      <c r="A30" s="17">
        <v>27.0</v>
      </c>
      <c r="B30" s="19" t="s">
        <v>411</v>
      </c>
      <c r="C30" s="7"/>
      <c r="D30" s="19" t="s">
        <v>411</v>
      </c>
      <c r="E30" s="19" t="s">
        <v>127</v>
      </c>
      <c r="F30" s="19" t="s">
        <v>1323</v>
      </c>
      <c r="G30" s="19" t="s">
        <v>45</v>
      </c>
      <c r="H30" s="17">
        <v>56378.0</v>
      </c>
      <c r="I30" s="17">
        <v>53.75</v>
      </c>
      <c r="J30" s="19" t="s">
        <v>1324</v>
      </c>
      <c r="K30" s="19" t="s">
        <v>51</v>
      </c>
      <c r="L30" s="17">
        <v>27561.0</v>
      </c>
      <c r="M30" s="17">
        <v>26.28</v>
      </c>
      <c r="N30" s="17">
        <v>28817.0</v>
      </c>
      <c r="O30" s="17">
        <v>27.47</v>
      </c>
      <c r="P30" s="17">
        <v>74.24</v>
      </c>
    </row>
    <row r="31">
      <c r="A31" s="17">
        <v>28.0</v>
      </c>
      <c r="B31" s="19" t="s">
        <v>426</v>
      </c>
      <c r="C31" s="7"/>
      <c r="D31" s="19" t="s">
        <v>411</v>
      </c>
      <c r="E31" s="19" t="s">
        <v>127</v>
      </c>
      <c r="F31" s="19" t="s">
        <v>1326</v>
      </c>
      <c r="G31" s="19" t="s">
        <v>45</v>
      </c>
      <c r="H31" s="17">
        <v>41843.0</v>
      </c>
      <c r="I31" s="17">
        <v>38.79</v>
      </c>
      <c r="J31" s="19" t="s">
        <v>1327</v>
      </c>
      <c r="K31" s="19" t="s">
        <v>51</v>
      </c>
      <c r="L31" s="17">
        <v>33681.0</v>
      </c>
      <c r="M31" s="17">
        <v>31.22</v>
      </c>
      <c r="N31" s="17">
        <v>8162.0</v>
      </c>
      <c r="O31" s="17">
        <v>7.57</v>
      </c>
      <c r="P31" s="17">
        <v>76.5</v>
      </c>
    </row>
    <row r="32">
      <c r="A32" s="17">
        <v>29.0</v>
      </c>
      <c r="B32" s="19" t="s">
        <v>248</v>
      </c>
      <c r="C32" s="19" t="s">
        <v>1197</v>
      </c>
      <c r="D32" s="19" t="s">
        <v>411</v>
      </c>
      <c r="E32" s="19" t="s">
        <v>127</v>
      </c>
      <c r="F32" s="19" t="s">
        <v>1329</v>
      </c>
      <c r="G32" s="19" t="s">
        <v>53</v>
      </c>
      <c r="H32" s="17">
        <v>45479.0</v>
      </c>
      <c r="I32" s="17">
        <v>35.32</v>
      </c>
      <c r="J32" s="19" t="s">
        <v>1230</v>
      </c>
      <c r="K32" s="19" t="s">
        <v>45</v>
      </c>
      <c r="L32" s="17">
        <v>43470.0</v>
      </c>
      <c r="M32" s="17">
        <v>33.76</v>
      </c>
      <c r="N32" s="17">
        <v>2009.0</v>
      </c>
      <c r="O32" s="17">
        <v>1.56</v>
      </c>
      <c r="P32" s="17">
        <v>72.19</v>
      </c>
    </row>
    <row r="33">
      <c r="A33" s="17">
        <v>30.0</v>
      </c>
      <c r="B33" s="19" t="s">
        <v>433</v>
      </c>
      <c r="C33" s="19" t="s">
        <v>1197</v>
      </c>
      <c r="D33" s="19" t="s">
        <v>436</v>
      </c>
      <c r="E33" s="19" t="s">
        <v>127</v>
      </c>
      <c r="F33" s="19" t="s">
        <v>1231</v>
      </c>
      <c r="G33" s="19" t="s">
        <v>51</v>
      </c>
      <c r="H33" s="17">
        <v>41336.0</v>
      </c>
      <c r="I33" s="17">
        <v>28.31</v>
      </c>
      <c r="J33" s="19" t="s">
        <v>437</v>
      </c>
      <c r="K33" s="19" t="s">
        <v>45</v>
      </c>
      <c r="L33" s="17">
        <v>37859.0</v>
      </c>
      <c r="M33" s="17">
        <v>25.93</v>
      </c>
      <c r="N33" s="17">
        <v>3477.0</v>
      </c>
      <c r="O33" s="17">
        <v>2.38</v>
      </c>
      <c r="P33" s="17">
        <v>75.29</v>
      </c>
    </row>
    <row r="34">
      <c r="A34" s="17">
        <v>31.0</v>
      </c>
      <c r="B34" s="19" t="s">
        <v>235</v>
      </c>
      <c r="C34" s="7"/>
      <c r="D34" s="19" t="s">
        <v>436</v>
      </c>
      <c r="E34" s="19" t="s">
        <v>127</v>
      </c>
      <c r="F34" s="19" t="s">
        <v>1332</v>
      </c>
      <c r="G34" s="19" t="s">
        <v>51</v>
      </c>
      <c r="H34" s="17">
        <v>56241.0</v>
      </c>
      <c r="I34" s="17">
        <v>39.53</v>
      </c>
      <c r="J34" s="19" t="s">
        <v>1333</v>
      </c>
      <c r="K34" s="19" t="s">
        <v>32</v>
      </c>
      <c r="L34" s="17">
        <v>37834.0</v>
      </c>
      <c r="M34" s="17">
        <v>26.59</v>
      </c>
      <c r="N34" s="17">
        <v>18407.0</v>
      </c>
      <c r="O34" s="17">
        <v>12.94</v>
      </c>
      <c r="P34" s="17">
        <v>76.88</v>
      </c>
    </row>
    <row r="35">
      <c r="A35" s="17">
        <v>32.0</v>
      </c>
      <c r="B35" s="19" t="s">
        <v>444</v>
      </c>
      <c r="C35" s="7"/>
      <c r="D35" s="19" t="s">
        <v>436</v>
      </c>
      <c r="E35" s="19" t="s">
        <v>127</v>
      </c>
      <c r="F35" s="19" t="s">
        <v>1335</v>
      </c>
      <c r="G35" s="19" t="s">
        <v>51</v>
      </c>
      <c r="H35" s="17">
        <v>46913.0</v>
      </c>
      <c r="I35" s="17">
        <v>34.88</v>
      </c>
      <c r="J35" s="19" t="s">
        <v>1336</v>
      </c>
      <c r="K35" s="19" t="s">
        <v>45</v>
      </c>
      <c r="L35" s="17">
        <v>42008.0</v>
      </c>
      <c r="M35" s="17">
        <v>31.23</v>
      </c>
      <c r="N35" s="17">
        <v>4905.0</v>
      </c>
      <c r="O35" s="17">
        <v>3.65</v>
      </c>
      <c r="P35" s="17">
        <v>78.09</v>
      </c>
    </row>
    <row r="36">
      <c r="A36" s="17">
        <v>33.0</v>
      </c>
      <c r="B36" s="19" t="s">
        <v>267</v>
      </c>
      <c r="C36" s="19" t="s">
        <v>1197</v>
      </c>
      <c r="D36" s="19" t="s">
        <v>436</v>
      </c>
      <c r="E36" s="19" t="s">
        <v>127</v>
      </c>
      <c r="F36" s="19" t="s">
        <v>1234</v>
      </c>
      <c r="G36" s="19" t="s">
        <v>45</v>
      </c>
      <c r="H36" s="17">
        <v>46729.0</v>
      </c>
      <c r="I36" s="17">
        <v>37.3</v>
      </c>
      <c r="J36" s="19" t="s">
        <v>1338</v>
      </c>
      <c r="K36" s="19" t="s">
        <v>51</v>
      </c>
      <c r="L36" s="17">
        <v>40709.0</v>
      </c>
      <c r="M36" s="17">
        <v>32.49</v>
      </c>
      <c r="N36" s="17">
        <v>6020.0</v>
      </c>
      <c r="O36" s="17">
        <v>4.81</v>
      </c>
      <c r="P36" s="17">
        <v>73.32</v>
      </c>
    </row>
    <row r="37">
      <c r="A37" s="17">
        <v>34.0</v>
      </c>
      <c r="B37" s="19" t="s">
        <v>274</v>
      </c>
      <c r="C37" s="19" t="s">
        <v>1197</v>
      </c>
      <c r="D37" s="19" t="s">
        <v>436</v>
      </c>
      <c r="E37" s="19" t="s">
        <v>127</v>
      </c>
      <c r="F37" s="19" t="s">
        <v>1235</v>
      </c>
      <c r="G37" s="19" t="s">
        <v>45</v>
      </c>
      <c r="H37" s="17">
        <v>53983.0</v>
      </c>
      <c r="I37" s="17">
        <v>49.33</v>
      </c>
      <c r="J37" s="19" t="s">
        <v>1340</v>
      </c>
      <c r="K37" s="19" t="s">
        <v>53</v>
      </c>
      <c r="L37" s="17">
        <v>36649.0</v>
      </c>
      <c r="M37" s="17">
        <v>33.49</v>
      </c>
      <c r="N37" s="17">
        <v>17334.0</v>
      </c>
      <c r="O37" s="17">
        <v>15.84</v>
      </c>
      <c r="P37" s="17">
        <v>72.05</v>
      </c>
    </row>
    <row r="38">
      <c r="A38" s="17">
        <v>35.0</v>
      </c>
      <c r="B38" s="19" t="s">
        <v>215</v>
      </c>
      <c r="C38" s="7"/>
      <c r="D38" s="19" t="s">
        <v>436</v>
      </c>
      <c r="E38" s="19" t="s">
        <v>127</v>
      </c>
      <c r="F38" s="19" t="s">
        <v>1236</v>
      </c>
      <c r="G38" s="19" t="s">
        <v>45</v>
      </c>
      <c r="H38" s="17">
        <v>55518.0</v>
      </c>
      <c r="I38" s="17">
        <v>52.72</v>
      </c>
      <c r="J38" s="19" t="s">
        <v>1342</v>
      </c>
      <c r="K38" s="19" t="s">
        <v>53</v>
      </c>
      <c r="L38" s="17">
        <v>31440.0</v>
      </c>
      <c r="M38" s="17">
        <v>29.85</v>
      </c>
      <c r="N38" s="17">
        <v>24078.0</v>
      </c>
      <c r="O38" s="17">
        <v>22.87</v>
      </c>
      <c r="P38" s="17">
        <v>67.54</v>
      </c>
    </row>
    <row r="39">
      <c r="A39" s="17">
        <v>36.0</v>
      </c>
      <c r="B39" s="19" t="s">
        <v>451</v>
      </c>
      <c r="C39" s="7"/>
      <c r="D39" s="19" t="s">
        <v>436</v>
      </c>
      <c r="E39" s="19" t="s">
        <v>127</v>
      </c>
      <c r="F39" s="19" t="s">
        <v>452</v>
      </c>
      <c r="G39" s="19" t="s">
        <v>45</v>
      </c>
      <c r="H39" s="17">
        <v>69715.0</v>
      </c>
      <c r="I39" s="17">
        <v>56.54</v>
      </c>
      <c r="J39" s="19" t="s">
        <v>1237</v>
      </c>
      <c r="K39" s="19" t="s">
        <v>53</v>
      </c>
      <c r="L39" s="17">
        <v>37424.0</v>
      </c>
      <c r="M39" s="17">
        <v>30.35</v>
      </c>
      <c r="N39" s="17">
        <v>32291.0</v>
      </c>
      <c r="O39" s="17">
        <v>26.19</v>
      </c>
      <c r="P39" s="17">
        <v>71.51</v>
      </c>
    </row>
    <row r="40">
      <c r="A40" s="17">
        <v>37.0</v>
      </c>
      <c r="B40" s="19" t="s">
        <v>453</v>
      </c>
      <c r="C40" s="7"/>
      <c r="D40" s="19" t="s">
        <v>436</v>
      </c>
      <c r="E40" s="19" t="s">
        <v>127</v>
      </c>
      <c r="F40" s="19" t="s">
        <v>454</v>
      </c>
      <c r="G40" s="19" t="s">
        <v>45</v>
      </c>
      <c r="H40" s="17">
        <v>59349.0</v>
      </c>
      <c r="I40" s="17">
        <v>47.34</v>
      </c>
      <c r="J40" s="19" t="s">
        <v>1345</v>
      </c>
      <c r="K40" s="19" t="s">
        <v>51</v>
      </c>
      <c r="L40" s="17">
        <v>30225.0</v>
      </c>
      <c r="M40" s="17">
        <v>24.11</v>
      </c>
      <c r="N40" s="17">
        <v>29124.0</v>
      </c>
      <c r="O40" s="17">
        <v>23.23</v>
      </c>
      <c r="P40" s="17">
        <v>67.96</v>
      </c>
    </row>
    <row r="41">
      <c r="A41" s="17">
        <v>38.0</v>
      </c>
      <c r="B41" s="19" t="s">
        <v>456</v>
      </c>
      <c r="C41" s="19" t="s">
        <v>1197</v>
      </c>
      <c r="D41" s="19" t="s">
        <v>436</v>
      </c>
      <c r="E41" s="19" t="s">
        <v>127</v>
      </c>
      <c r="F41" s="19" t="s">
        <v>1240</v>
      </c>
      <c r="G41" s="19" t="s">
        <v>51</v>
      </c>
      <c r="H41" s="17">
        <v>45229.0</v>
      </c>
      <c r="I41" s="17">
        <v>39.12</v>
      </c>
      <c r="J41" s="19" t="s">
        <v>1348</v>
      </c>
      <c r="K41" s="19" t="s">
        <v>45</v>
      </c>
      <c r="L41" s="17">
        <v>37530.0</v>
      </c>
      <c r="M41" s="17">
        <v>32.46</v>
      </c>
      <c r="N41" s="17">
        <v>7699.0</v>
      </c>
      <c r="O41" s="17">
        <v>6.66</v>
      </c>
      <c r="P41" s="17">
        <v>73.0</v>
      </c>
    </row>
    <row r="42">
      <c r="A42" s="17">
        <v>39.0</v>
      </c>
      <c r="B42" s="19" t="s">
        <v>458</v>
      </c>
      <c r="C42" s="7"/>
      <c r="D42" s="19" t="s">
        <v>459</v>
      </c>
      <c r="E42" s="19" t="s">
        <v>127</v>
      </c>
      <c r="F42" s="19" t="s">
        <v>1350</v>
      </c>
      <c r="G42" s="19" t="s">
        <v>45</v>
      </c>
      <c r="H42" s="17">
        <v>56787.0</v>
      </c>
      <c r="I42" s="17">
        <v>42.1</v>
      </c>
      <c r="J42" s="19" t="s">
        <v>1351</v>
      </c>
      <c r="K42" s="19" t="s">
        <v>53</v>
      </c>
      <c r="L42" s="17">
        <v>33661.0</v>
      </c>
      <c r="M42" s="17">
        <v>24.95</v>
      </c>
      <c r="N42" s="17">
        <v>23126.0</v>
      </c>
      <c r="O42" s="17">
        <v>17.15</v>
      </c>
      <c r="P42" s="17">
        <v>70.17</v>
      </c>
    </row>
    <row r="43">
      <c r="A43" s="17">
        <v>40.0</v>
      </c>
      <c r="B43" s="19" t="s">
        <v>461</v>
      </c>
      <c r="C43" s="7"/>
      <c r="D43" s="19" t="s">
        <v>459</v>
      </c>
      <c r="E43" s="19" t="s">
        <v>127</v>
      </c>
      <c r="F43" s="19" t="s">
        <v>1242</v>
      </c>
      <c r="G43" s="19" t="s">
        <v>45</v>
      </c>
      <c r="H43" s="17">
        <v>56527.0</v>
      </c>
      <c r="I43" s="17">
        <v>43.61</v>
      </c>
      <c r="J43" s="19" t="s">
        <v>1353</v>
      </c>
      <c r="K43" s="19" t="s">
        <v>53</v>
      </c>
      <c r="L43" s="17">
        <v>38889.0</v>
      </c>
      <c r="M43" s="17">
        <v>30.0</v>
      </c>
      <c r="N43" s="17">
        <v>17638.0</v>
      </c>
      <c r="O43" s="17">
        <v>13.61</v>
      </c>
      <c r="P43" s="17">
        <v>68.41</v>
      </c>
    </row>
    <row r="44">
      <c r="A44" s="17">
        <v>41.0</v>
      </c>
      <c r="B44" s="19" t="s">
        <v>275</v>
      </c>
      <c r="C44" s="7"/>
      <c r="D44" s="19" t="s">
        <v>459</v>
      </c>
      <c r="E44" s="19" t="s">
        <v>127</v>
      </c>
      <c r="F44" s="19" t="s">
        <v>1243</v>
      </c>
      <c r="G44" s="19" t="s">
        <v>45</v>
      </c>
      <c r="H44" s="17">
        <v>51477.0</v>
      </c>
      <c r="I44" s="17">
        <v>41.1</v>
      </c>
      <c r="J44" s="19" t="s">
        <v>1355</v>
      </c>
      <c r="K44" s="19" t="s">
        <v>51</v>
      </c>
      <c r="L44" s="17">
        <v>36523.0</v>
      </c>
      <c r="M44" s="17">
        <v>29.16</v>
      </c>
      <c r="N44" s="17">
        <v>14954.0</v>
      </c>
      <c r="O44" s="17">
        <v>11.94</v>
      </c>
      <c r="P44" s="17">
        <v>71.05</v>
      </c>
    </row>
    <row r="45">
      <c r="A45" s="17">
        <v>42.0</v>
      </c>
      <c r="B45" s="19" t="s">
        <v>462</v>
      </c>
      <c r="C45" s="19" t="s">
        <v>1197</v>
      </c>
      <c r="D45" s="19" t="s">
        <v>459</v>
      </c>
      <c r="E45" s="19" t="s">
        <v>127</v>
      </c>
      <c r="F45" s="19" t="s">
        <v>1244</v>
      </c>
      <c r="G45" s="19" t="s">
        <v>45</v>
      </c>
      <c r="H45" s="17">
        <v>46612.0</v>
      </c>
      <c r="I45" s="17">
        <v>37.9</v>
      </c>
      <c r="J45" s="19" t="s">
        <v>1357</v>
      </c>
      <c r="K45" s="19" t="s">
        <v>32</v>
      </c>
      <c r="L45" s="17">
        <v>42797.0</v>
      </c>
      <c r="M45" s="17">
        <v>34.8</v>
      </c>
      <c r="N45" s="17">
        <v>3815.0</v>
      </c>
      <c r="O45" s="17">
        <v>3.1</v>
      </c>
      <c r="P45" s="17">
        <v>73.76</v>
      </c>
    </row>
    <row r="46">
      <c r="A46" s="17">
        <v>43.0</v>
      </c>
      <c r="B46" s="19" t="s">
        <v>459</v>
      </c>
      <c r="C46" s="7"/>
      <c r="D46" s="19" t="s">
        <v>459</v>
      </c>
      <c r="E46" s="19" t="s">
        <v>127</v>
      </c>
      <c r="F46" s="19" t="s">
        <v>1245</v>
      </c>
      <c r="G46" s="19" t="s">
        <v>45</v>
      </c>
      <c r="H46" s="17">
        <v>49951.0</v>
      </c>
      <c r="I46" s="17">
        <v>40.88</v>
      </c>
      <c r="J46" s="19" t="s">
        <v>1359</v>
      </c>
      <c r="K46" s="19" t="s">
        <v>53</v>
      </c>
      <c r="L46" s="17">
        <v>38718.0</v>
      </c>
      <c r="M46" s="17">
        <v>31.69</v>
      </c>
      <c r="N46" s="17">
        <v>11233.0</v>
      </c>
      <c r="O46" s="17">
        <v>9.19</v>
      </c>
      <c r="P46" s="17">
        <v>69.36</v>
      </c>
    </row>
    <row r="47">
      <c r="A47" s="17">
        <v>44.0</v>
      </c>
      <c r="B47" s="19" t="s">
        <v>247</v>
      </c>
      <c r="C47" s="19" t="s">
        <v>1197</v>
      </c>
      <c r="D47" s="19" t="s">
        <v>459</v>
      </c>
      <c r="E47" s="19" t="s">
        <v>127</v>
      </c>
      <c r="F47" s="19" t="s">
        <v>1246</v>
      </c>
      <c r="G47" s="19" t="s">
        <v>45</v>
      </c>
      <c r="H47" s="17">
        <v>57857.0</v>
      </c>
      <c r="I47" s="17">
        <v>50.32</v>
      </c>
      <c r="J47" s="19" t="s">
        <v>1361</v>
      </c>
      <c r="K47" s="19" t="s">
        <v>51</v>
      </c>
      <c r="L47" s="17">
        <v>28596.0</v>
      </c>
      <c r="M47" s="17">
        <v>24.87</v>
      </c>
      <c r="N47" s="17">
        <v>29261.0</v>
      </c>
      <c r="O47" s="17">
        <v>25.45</v>
      </c>
      <c r="P47" s="17">
        <v>73.64</v>
      </c>
    </row>
    <row r="48">
      <c r="A48" s="17">
        <v>45.0</v>
      </c>
      <c r="B48" s="19" t="s">
        <v>465</v>
      </c>
      <c r="C48" s="7"/>
      <c r="D48" s="19" t="s">
        <v>459</v>
      </c>
      <c r="E48" s="19" t="s">
        <v>127</v>
      </c>
      <c r="F48" s="19" t="s">
        <v>492</v>
      </c>
      <c r="G48" s="19" t="s">
        <v>32</v>
      </c>
      <c r="H48" s="17">
        <v>41720.0</v>
      </c>
      <c r="I48" s="17">
        <v>33.5</v>
      </c>
      <c r="J48" s="19" t="s">
        <v>1363</v>
      </c>
      <c r="K48" s="19" t="s">
        <v>51</v>
      </c>
      <c r="L48" s="17">
        <v>40070.0</v>
      </c>
      <c r="M48" s="17">
        <v>32.18</v>
      </c>
      <c r="N48" s="17">
        <v>1650.0</v>
      </c>
      <c r="O48" s="17">
        <v>1.32</v>
      </c>
      <c r="P48" s="17">
        <v>73.43</v>
      </c>
    </row>
    <row r="49">
      <c r="A49" s="17">
        <v>46.0</v>
      </c>
      <c r="B49" s="19" t="s">
        <v>211</v>
      </c>
      <c r="C49" s="19" t="s">
        <v>1197</v>
      </c>
      <c r="D49" s="19" t="s">
        <v>487</v>
      </c>
      <c r="E49" s="19" t="s">
        <v>127</v>
      </c>
      <c r="F49" s="19" t="s">
        <v>1366</v>
      </c>
      <c r="G49" s="19" t="s">
        <v>51</v>
      </c>
      <c r="H49" s="17">
        <v>45256.0</v>
      </c>
      <c r="I49" s="17">
        <v>37.16</v>
      </c>
      <c r="J49" s="19" t="s">
        <v>1367</v>
      </c>
      <c r="K49" s="19" t="s">
        <v>32</v>
      </c>
      <c r="L49" s="17">
        <v>43363.0</v>
      </c>
      <c r="M49" s="17">
        <v>35.61</v>
      </c>
      <c r="N49" s="17">
        <v>1893.0</v>
      </c>
      <c r="O49" s="17">
        <v>1.55</v>
      </c>
      <c r="P49" s="17">
        <v>76.59</v>
      </c>
    </row>
    <row r="50">
      <c r="A50" s="17">
        <v>47.0</v>
      </c>
      <c r="B50" s="19" t="s">
        <v>259</v>
      </c>
      <c r="C50" s="7"/>
      <c r="D50" s="19" t="s">
        <v>487</v>
      </c>
      <c r="E50" s="19" t="s">
        <v>127</v>
      </c>
      <c r="F50" s="19" t="s">
        <v>1369</v>
      </c>
      <c r="G50" s="19" t="s">
        <v>45</v>
      </c>
      <c r="H50" s="17">
        <v>38197.0</v>
      </c>
      <c r="I50" s="17">
        <v>29.89</v>
      </c>
      <c r="J50" s="19" t="s">
        <v>1370</v>
      </c>
      <c r="K50" s="19" t="s">
        <v>51</v>
      </c>
      <c r="L50" s="17">
        <v>34874.0</v>
      </c>
      <c r="M50" s="17">
        <v>27.29</v>
      </c>
      <c r="N50" s="17">
        <v>3323.0</v>
      </c>
      <c r="O50" s="17">
        <v>2.6</v>
      </c>
      <c r="P50" s="17">
        <v>75.99</v>
      </c>
    </row>
    <row r="51">
      <c r="A51" s="17">
        <v>48.0</v>
      </c>
      <c r="B51" s="19" t="s">
        <v>278</v>
      </c>
      <c r="C51" s="7"/>
      <c r="D51" s="19" t="s">
        <v>487</v>
      </c>
      <c r="E51" s="19" t="s">
        <v>127</v>
      </c>
      <c r="F51" s="19" t="s">
        <v>1372</v>
      </c>
      <c r="G51" s="19" t="s">
        <v>45</v>
      </c>
      <c r="H51" s="17">
        <v>49558.0</v>
      </c>
      <c r="I51" s="17">
        <v>42.52</v>
      </c>
      <c r="J51" s="19" t="s">
        <v>1373</v>
      </c>
      <c r="K51" s="19" t="s">
        <v>51</v>
      </c>
      <c r="L51" s="17">
        <v>29918.0</v>
      </c>
      <c r="M51" s="17">
        <v>25.67</v>
      </c>
      <c r="N51" s="17">
        <v>19640.0</v>
      </c>
      <c r="O51" s="17">
        <v>16.85</v>
      </c>
      <c r="P51" s="17">
        <v>78.59</v>
      </c>
    </row>
    <row r="52">
      <c r="A52" s="17">
        <v>49.0</v>
      </c>
      <c r="B52" s="19" t="s">
        <v>467</v>
      </c>
      <c r="C52" s="7"/>
      <c r="D52" s="19" t="s">
        <v>469</v>
      </c>
      <c r="E52" s="19" t="s">
        <v>35</v>
      </c>
      <c r="F52" s="19" t="s">
        <v>1254</v>
      </c>
      <c r="G52" s="19" t="s">
        <v>45</v>
      </c>
      <c r="H52" s="17">
        <v>60800.0</v>
      </c>
      <c r="I52" s="17">
        <v>45.3</v>
      </c>
      <c r="J52" s="19" t="s">
        <v>1376</v>
      </c>
      <c r="K52" s="19" t="s">
        <v>53</v>
      </c>
      <c r="L52" s="17">
        <v>36919.0</v>
      </c>
      <c r="M52" s="17">
        <v>27.51</v>
      </c>
      <c r="N52" s="17">
        <v>23881.0</v>
      </c>
      <c r="O52" s="17">
        <v>17.79</v>
      </c>
      <c r="P52" s="17">
        <v>74.48</v>
      </c>
    </row>
    <row r="53">
      <c r="A53" s="17">
        <v>50.0</v>
      </c>
      <c r="B53" s="19" t="s">
        <v>469</v>
      </c>
      <c r="C53" s="7"/>
      <c r="D53" s="19" t="s">
        <v>469</v>
      </c>
      <c r="E53" s="19" t="s">
        <v>35</v>
      </c>
      <c r="F53" s="19" t="s">
        <v>1377</v>
      </c>
      <c r="G53" s="19" t="s">
        <v>32</v>
      </c>
      <c r="H53" s="17">
        <v>58994.0</v>
      </c>
      <c r="I53" s="17">
        <v>45.67</v>
      </c>
      <c r="J53" s="19" t="s">
        <v>1255</v>
      </c>
      <c r="K53" s="19" t="s">
        <v>45</v>
      </c>
      <c r="L53" s="17">
        <v>35287.0</v>
      </c>
      <c r="M53" s="17">
        <v>27.32</v>
      </c>
      <c r="N53" s="17">
        <v>23707.0</v>
      </c>
      <c r="O53" s="17">
        <v>18.35</v>
      </c>
      <c r="P53" s="17">
        <v>76.16</v>
      </c>
    </row>
    <row r="54">
      <c r="A54" s="17">
        <v>51.0</v>
      </c>
      <c r="B54" s="19" t="s">
        <v>470</v>
      </c>
      <c r="C54" s="19" t="s">
        <v>1197</v>
      </c>
      <c r="D54" s="19" t="s">
        <v>469</v>
      </c>
      <c r="E54" s="19" t="s">
        <v>35</v>
      </c>
      <c r="F54" s="19" t="s">
        <v>1257</v>
      </c>
      <c r="G54" s="19" t="s">
        <v>45</v>
      </c>
      <c r="H54" s="17">
        <v>61060.0</v>
      </c>
      <c r="I54" s="17">
        <v>42.26</v>
      </c>
      <c r="J54" s="19" t="s">
        <v>530</v>
      </c>
      <c r="K54" s="19" t="s">
        <v>32</v>
      </c>
      <c r="L54" s="17">
        <v>48752.0</v>
      </c>
      <c r="M54" s="17">
        <v>33.74</v>
      </c>
      <c r="N54" s="17">
        <v>12308.0</v>
      </c>
      <c r="O54" s="17">
        <v>8.52</v>
      </c>
      <c r="P54" s="17">
        <v>77.29</v>
      </c>
    </row>
    <row r="55">
      <c r="A55" s="17">
        <v>52.0</v>
      </c>
      <c r="B55" s="19" t="s">
        <v>471</v>
      </c>
      <c r="C55" s="7"/>
      <c r="D55" s="19" t="s">
        <v>472</v>
      </c>
      <c r="E55" s="19" t="s">
        <v>35</v>
      </c>
      <c r="F55" s="19" t="s">
        <v>1382</v>
      </c>
      <c r="G55" s="19" t="s">
        <v>32</v>
      </c>
      <c r="H55" s="17">
        <v>54171.0</v>
      </c>
      <c r="I55" s="17">
        <v>34.19</v>
      </c>
      <c r="J55" s="19" t="s">
        <v>1384</v>
      </c>
      <c r="K55" s="19" t="s">
        <v>45</v>
      </c>
      <c r="L55" s="17">
        <v>52159.0</v>
      </c>
      <c r="M55" s="17">
        <v>32.92</v>
      </c>
      <c r="N55" s="17">
        <v>2012.0</v>
      </c>
      <c r="O55" s="17">
        <v>1.27</v>
      </c>
      <c r="P55" s="17">
        <v>71.34</v>
      </c>
    </row>
    <row r="56">
      <c r="A56" s="17">
        <v>53.0</v>
      </c>
      <c r="B56" s="19" t="s">
        <v>472</v>
      </c>
      <c r="C56" s="7"/>
      <c r="D56" s="19" t="s">
        <v>472</v>
      </c>
      <c r="E56" s="19" t="s">
        <v>35</v>
      </c>
      <c r="F56" s="19" t="s">
        <v>1262</v>
      </c>
      <c r="G56" s="19" t="s">
        <v>45</v>
      </c>
      <c r="H56" s="17">
        <v>66844.0</v>
      </c>
      <c r="I56" s="17">
        <v>47.86</v>
      </c>
      <c r="J56" s="19" t="s">
        <v>1386</v>
      </c>
      <c r="K56" s="19" t="s">
        <v>32</v>
      </c>
      <c r="L56" s="17">
        <v>38971.0</v>
      </c>
      <c r="M56" s="17">
        <v>27.9</v>
      </c>
      <c r="N56" s="17">
        <v>27873.0</v>
      </c>
      <c r="O56" s="17">
        <v>19.96</v>
      </c>
      <c r="P56" s="17">
        <v>66.68</v>
      </c>
    </row>
    <row r="57">
      <c r="A57" s="17">
        <v>54.0</v>
      </c>
      <c r="B57" s="19" t="s">
        <v>473</v>
      </c>
      <c r="C57" s="19" t="s">
        <v>1197</v>
      </c>
      <c r="D57" s="19" t="s">
        <v>475</v>
      </c>
      <c r="E57" s="19" t="s">
        <v>35</v>
      </c>
      <c r="F57" s="19" t="s">
        <v>1264</v>
      </c>
      <c r="G57" s="19" t="s">
        <v>45</v>
      </c>
      <c r="H57" s="17">
        <v>47319.0</v>
      </c>
      <c r="I57" s="17">
        <v>41.82</v>
      </c>
      <c r="J57" s="19" t="s">
        <v>1318</v>
      </c>
      <c r="K57" s="19" t="s">
        <v>32</v>
      </c>
      <c r="L57" s="17">
        <v>37273.0</v>
      </c>
      <c r="M57" s="17">
        <v>32.94</v>
      </c>
      <c r="N57" s="17">
        <v>10046.0</v>
      </c>
      <c r="O57" s="17">
        <v>8.88</v>
      </c>
      <c r="P57" s="17">
        <v>79.17</v>
      </c>
    </row>
    <row r="58">
      <c r="A58" s="17">
        <v>55.0</v>
      </c>
      <c r="B58" s="19" t="s">
        <v>475</v>
      </c>
      <c r="C58" s="7"/>
      <c r="D58" s="19" t="s">
        <v>475</v>
      </c>
      <c r="E58" s="19" t="s">
        <v>35</v>
      </c>
      <c r="F58" s="19" t="s">
        <v>1267</v>
      </c>
      <c r="G58" s="19" t="s">
        <v>45</v>
      </c>
      <c r="H58" s="17">
        <v>58205.0</v>
      </c>
      <c r="I58" s="17">
        <v>46.95</v>
      </c>
      <c r="J58" s="19" t="s">
        <v>1389</v>
      </c>
      <c r="K58" s="19" t="s">
        <v>51</v>
      </c>
      <c r="L58" s="17">
        <v>34338.0</v>
      </c>
      <c r="M58" s="17">
        <v>27.7</v>
      </c>
      <c r="N58" s="17">
        <v>23867.0</v>
      </c>
      <c r="O58" s="17">
        <v>19.25</v>
      </c>
      <c r="P58" s="17">
        <v>82.81</v>
      </c>
    </row>
    <row r="59">
      <c r="A59" s="17">
        <v>56.0</v>
      </c>
      <c r="B59" s="19" t="s">
        <v>476</v>
      </c>
      <c r="C59" s="7"/>
      <c r="D59" s="19" t="s">
        <v>475</v>
      </c>
      <c r="E59" s="19" t="s">
        <v>35</v>
      </c>
      <c r="F59" s="19" t="s">
        <v>1390</v>
      </c>
      <c r="G59" s="19" t="s">
        <v>45</v>
      </c>
      <c r="H59" s="17">
        <v>39669.0</v>
      </c>
      <c r="I59" s="17">
        <v>35.23</v>
      </c>
      <c r="J59" s="19" t="s">
        <v>1268</v>
      </c>
      <c r="K59" s="19" t="s">
        <v>51</v>
      </c>
      <c r="L59" s="17">
        <v>35723.0</v>
      </c>
      <c r="M59" s="17">
        <v>31.73</v>
      </c>
      <c r="N59" s="17">
        <v>3946.0</v>
      </c>
      <c r="O59" s="17">
        <v>3.5</v>
      </c>
      <c r="P59" s="17">
        <v>83.09</v>
      </c>
    </row>
    <row r="60">
      <c r="A60" s="17">
        <v>57.0</v>
      </c>
      <c r="B60" s="19" t="s">
        <v>477</v>
      </c>
      <c r="C60" s="7"/>
      <c r="D60" s="19" t="s">
        <v>519</v>
      </c>
      <c r="E60" s="19" t="s">
        <v>35</v>
      </c>
      <c r="F60" s="19" t="s">
        <v>1394</v>
      </c>
      <c r="G60" s="19" t="s">
        <v>45</v>
      </c>
      <c r="H60" s="17">
        <v>55690.0</v>
      </c>
      <c r="I60" s="17">
        <v>44.29</v>
      </c>
      <c r="J60" s="19" t="s">
        <v>1395</v>
      </c>
      <c r="K60" s="19" t="s">
        <v>32</v>
      </c>
      <c r="L60" s="17">
        <v>35099.0</v>
      </c>
      <c r="M60" s="17">
        <v>27.91</v>
      </c>
      <c r="N60" s="17">
        <v>20591.0</v>
      </c>
      <c r="O60" s="17">
        <v>16.38</v>
      </c>
      <c r="P60" s="17">
        <v>78.43</v>
      </c>
    </row>
    <row r="61">
      <c r="A61" s="17">
        <v>58.0</v>
      </c>
      <c r="B61" s="19" t="s">
        <v>478</v>
      </c>
      <c r="C61" s="7"/>
      <c r="D61" s="19" t="s">
        <v>519</v>
      </c>
      <c r="E61" s="19" t="s">
        <v>35</v>
      </c>
      <c r="F61" s="19" t="s">
        <v>1398</v>
      </c>
      <c r="G61" s="19" t="s">
        <v>45</v>
      </c>
      <c r="H61" s="17">
        <v>51930.0</v>
      </c>
      <c r="I61" s="17">
        <v>38.77</v>
      </c>
      <c r="J61" s="19" t="s">
        <v>1399</v>
      </c>
      <c r="K61" s="19" t="s">
        <v>32</v>
      </c>
      <c r="L61" s="17">
        <v>40925.0</v>
      </c>
      <c r="M61" s="17">
        <v>30.55</v>
      </c>
      <c r="N61" s="17">
        <v>11005.0</v>
      </c>
      <c r="O61" s="17">
        <v>8.22</v>
      </c>
      <c r="P61" s="17">
        <v>80.01</v>
      </c>
    </row>
    <row r="62">
      <c r="A62" s="17">
        <v>59.0</v>
      </c>
      <c r="B62" s="19" t="s">
        <v>320</v>
      </c>
      <c r="C62" s="7"/>
      <c r="D62" s="19" t="s">
        <v>519</v>
      </c>
      <c r="E62" s="19" t="s">
        <v>35</v>
      </c>
      <c r="F62" s="19" t="s">
        <v>1401</v>
      </c>
      <c r="G62" s="19" t="s">
        <v>51</v>
      </c>
      <c r="H62" s="17">
        <v>63184.0</v>
      </c>
      <c r="I62" s="17">
        <v>38.07</v>
      </c>
      <c r="J62" s="19" t="s">
        <v>1403</v>
      </c>
      <c r="K62" s="19" t="s">
        <v>45</v>
      </c>
      <c r="L62" s="17">
        <v>58633.0</v>
      </c>
      <c r="M62" s="17">
        <v>35.33</v>
      </c>
      <c r="N62" s="17">
        <v>4551.0</v>
      </c>
      <c r="O62" s="17">
        <v>2.74</v>
      </c>
      <c r="P62" s="17">
        <v>75.49</v>
      </c>
    </row>
    <row r="63">
      <c r="A63" s="17">
        <v>60.0</v>
      </c>
      <c r="B63" s="19" t="s">
        <v>479</v>
      </c>
      <c r="C63" s="7"/>
      <c r="D63" s="19" t="s">
        <v>519</v>
      </c>
      <c r="E63" s="19" t="s">
        <v>35</v>
      </c>
      <c r="F63" s="19" t="s">
        <v>1275</v>
      </c>
      <c r="G63" s="19" t="s">
        <v>45</v>
      </c>
      <c r="H63" s="17">
        <v>43010.0</v>
      </c>
      <c r="I63" s="17">
        <v>33.3</v>
      </c>
      <c r="J63" s="19" t="s">
        <v>564</v>
      </c>
      <c r="K63" s="19" t="s">
        <v>32</v>
      </c>
      <c r="L63" s="17">
        <v>41429.0</v>
      </c>
      <c r="M63" s="17">
        <v>32.08</v>
      </c>
      <c r="N63" s="17">
        <v>1581.0</v>
      </c>
      <c r="O63" s="17">
        <v>1.22</v>
      </c>
      <c r="P63" s="17">
        <v>70.87</v>
      </c>
    </row>
    <row r="64">
      <c r="A64" s="17">
        <v>61.0</v>
      </c>
      <c r="B64" s="19" t="s">
        <v>481</v>
      </c>
      <c r="C64" s="7"/>
      <c r="D64" s="19" t="s">
        <v>519</v>
      </c>
      <c r="E64" s="19" t="s">
        <v>35</v>
      </c>
      <c r="F64" s="19" t="s">
        <v>1412</v>
      </c>
      <c r="G64" s="19" t="s">
        <v>1413</v>
      </c>
      <c r="H64" s="17">
        <v>53955.0</v>
      </c>
      <c r="I64" s="17">
        <v>53.54</v>
      </c>
      <c r="J64" s="19" t="s">
        <v>1414</v>
      </c>
      <c r="K64" s="19" t="s">
        <v>45</v>
      </c>
      <c r="L64" s="17">
        <v>23038.0</v>
      </c>
      <c r="M64" s="17">
        <v>22.86</v>
      </c>
      <c r="N64" s="17">
        <v>30917.0</v>
      </c>
      <c r="O64" s="17">
        <v>30.68</v>
      </c>
      <c r="P64" s="17">
        <v>67.37</v>
      </c>
    </row>
    <row r="65">
      <c r="A65" s="17">
        <v>62.0</v>
      </c>
      <c r="B65" s="19" t="s">
        <v>482</v>
      </c>
      <c r="C65" s="7"/>
      <c r="D65" s="19" t="s">
        <v>519</v>
      </c>
      <c r="E65" s="19" t="s">
        <v>35</v>
      </c>
      <c r="F65" s="19" t="s">
        <v>1415</v>
      </c>
      <c r="G65" s="19" t="s">
        <v>1413</v>
      </c>
      <c r="H65" s="17">
        <v>53421.0</v>
      </c>
      <c r="I65" s="17">
        <v>50.32</v>
      </c>
      <c r="J65" s="19" t="s">
        <v>1416</v>
      </c>
      <c r="K65" s="19" t="s">
        <v>45</v>
      </c>
      <c r="L65" s="17">
        <v>36508.0</v>
      </c>
      <c r="M65" s="17">
        <v>34.39</v>
      </c>
      <c r="N65" s="17">
        <v>16913.0</v>
      </c>
      <c r="O65" s="17">
        <v>15.93</v>
      </c>
      <c r="P65" s="17">
        <v>67.37</v>
      </c>
    </row>
    <row r="66">
      <c r="A66" s="17">
        <v>63.0</v>
      </c>
      <c r="B66" s="19" t="s">
        <v>303</v>
      </c>
      <c r="C66" s="7"/>
      <c r="D66" s="19" t="s">
        <v>519</v>
      </c>
      <c r="E66" s="19" t="s">
        <v>35</v>
      </c>
      <c r="F66" s="19" t="s">
        <v>1417</v>
      </c>
      <c r="G66" s="19" t="s">
        <v>45</v>
      </c>
      <c r="H66" s="17">
        <v>47871.0</v>
      </c>
      <c r="I66" s="17">
        <v>46.96</v>
      </c>
      <c r="J66" s="19" t="s">
        <v>1281</v>
      </c>
      <c r="K66" s="19" t="s">
        <v>53</v>
      </c>
      <c r="L66" s="17">
        <v>27391.0</v>
      </c>
      <c r="M66" s="17">
        <v>26.87</v>
      </c>
      <c r="N66" s="17">
        <v>20480.0</v>
      </c>
      <c r="O66" s="17">
        <v>20.09</v>
      </c>
      <c r="P66" s="17">
        <v>69.05</v>
      </c>
    </row>
    <row r="67">
      <c r="A67" s="17">
        <v>64.0</v>
      </c>
      <c r="B67" s="19" t="s">
        <v>220</v>
      </c>
      <c r="C67" s="7"/>
      <c r="D67" s="19" t="s">
        <v>519</v>
      </c>
      <c r="E67" s="19" t="s">
        <v>35</v>
      </c>
      <c r="F67" s="19" t="s">
        <v>1418</v>
      </c>
      <c r="G67" s="19" t="s">
        <v>45</v>
      </c>
      <c r="H67" s="17">
        <v>66627.0</v>
      </c>
      <c r="I67" s="17">
        <v>54.86</v>
      </c>
      <c r="J67" s="19" t="s">
        <v>1419</v>
      </c>
      <c r="K67" s="19" t="s">
        <v>32</v>
      </c>
      <c r="L67" s="17">
        <v>30106.0</v>
      </c>
      <c r="M67" s="17">
        <v>24.79</v>
      </c>
      <c r="N67" s="17">
        <v>36521.0</v>
      </c>
      <c r="O67" s="17">
        <v>30.07</v>
      </c>
      <c r="P67" s="17">
        <v>68.65</v>
      </c>
    </row>
    <row r="68">
      <c r="A68" s="17">
        <v>65.0</v>
      </c>
      <c r="B68" s="19" t="s">
        <v>483</v>
      </c>
      <c r="C68" s="7"/>
      <c r="D68" s="19" t="s">
        <v>519</v>
      </c>
      <c r="E68" s="19" t="s">
        <v>35</v>
      </c>
      <c r="F68" s="19" t="s">
        <v>1420</v>
      </c>
      <c r="G68" s="19" t="s">
        <v>45</v>
      </c>
      <c r="H68" s="17">
        <v>44864.0</v>
      </c>
      <c r="I68" s="17">
        <v>36.4</v>
      </c>
      <c r="J68" s="19" t="s">
        <v>1288</v>
      </c>
      <c r="K68" s="19" t="s">
        <v>53</v>
      </c>
      <c r="L68" s="17">
        <v>39732.0</v>
      </c>
      <c r="M68" s="17">
        <v>32.24</v>
      </c>
      <c r="N68" s="17">
        <v>5132.0</v>
      </c>
      <c r="O68" s="17">
        <v>4.16</v>
      </c>
      <c r="P68" s="17">
        <v>67.75</v>
      </c>
    </row>
    <row r="69">
      <c r="A69" s="17">
        <v>66.0</v>
      </c>
      <c r="B69" s="19" t="s">
        <v>485</v>
      </c>
      <c r="C69" s="19" t="s">
        <v>1197</v>
      </c>
      <c r="D69" s="19" t="s">
        <v>519</v>
      </c>
      <c r="E69" s="19" t="s">
        <v>35</v>
      </c>
      <c r="F69" s="19" t="s">
        <v>1421</v>
      </c>
      <c r="G69" s="19" t="s">
        <v>45</v>
      </c>
      <c r="H69" s="17">
        <v>67927.0</v>
      </c>
      <c r="I69" s="17">
        <v>37.83</v>
      </c>
      <c r="J69" s="19" t="s">
        <v>572</v>
      </c>
      <c r="K69" s="19" t="s">
        <v>32</v>
      </c>
      <c r="L69" s="17">
        <v>59286.0</v>
      </c>
      <c r="M69" s="17">
        <v>33.02</v>
      </c>
      <c r="N69" s="17">
        <v>8641.0</v>
      </c>
      <c r="O69" s="17">
        <v>4.81</v>
      </c>
      <c r="P69" s="17">
        <v>75.09</v>
      </c>
    </row>
    <row r="70">
      <c r="A70" s="17">
        <v>67.0</v>
      </c>
      <c r="B70" s="19" t="s">
        <v>486</v>
      </c>
      <c r="C70" s="19" t="s">
        <v>1197</v>
      </c>
      <c r="D70" s="19" t="s">
        <v>519</v>
      </c>
      <c r="E70" s="19" t="s">
        <v>35</v>
      </c>
      <c r="F70" s="19" t="s">
        <v>1422</v>
      </c>
      <c r="G70" s="19" t="s">
        <v>45</v>
      </c>
      <c r="H70" s="17">
        <v>57776.0</v>
      </c>
      <c r="I70" s="17">
        <v>44.19</v>
      </c>
      <c r="J70" s="19" t="s">
        <v>1423</v>
      </c>
      <c r="K70" s="19" t="s">
        <v>32</v>
      </c>
      <c r="L70" s="17">
        <v>36280.0</v>
      </c>
      <c r="M70" s="17">
        <v>27.75</v>
      </c>
      <c r="N70" s="17">
        <v>21496.0</v>
      </c>
      <c r="O70" s="17">
        <v>16.44</v>
      </c>
      <c r="P70" s="17">
        <v>81.89</v>
      </c>
    </row>
    <row r="71">
      <c r="A71" s="17">
        <v>68.0</v>
      </c>
      <c r="B71" s="19" t="s">
        <v>34</v>
      </c>
      <c r="C71" s="7"/>
      <c r="D71" s="19" t="s">
        <v>519</v>
      </c>
      <c r="E71" s="19" t="s">
        <v>35</v>
      </c>
      <c r="F71" s="19" t="s">
        <v>1424</v>
      </c>
      <c r="G71" s="19" t="s">
        <v>32</v>
      </c>
      <c r="H71" s="17">
        <v>58923.0</v>
      </c>
      <c r="I71" s="17">
        <v>40.55</v>
      </c>
      <c r="J71" s="19" t="s">
        <v>1294</v>
      </c>
      <c r="K71" s="19" t="s">
        <v>51</v>
      </c>
      <c r="L71" s="17">
        <v>54754.0</v>
      </c>
      <c r="M71" s="17">
        <v>37.68</v>
      </c>
      <c r="N71" s="17">
        <v>4169.0</v>
      </c>
      <c r="O71" s="17">
        <v>2.87</v>
      </c>
      <c r="P71" s="17">
        <v>80.93</v>
      </c>
    </row>
    <row r="72">
      <c r="A72" s="17">
        <v>69.0</v>
      </c>
      <c r="B72" s="19" t="s">
        <v>489</v>
      </c>
      <c r="C72" s="19" t="s">
        <v>1197</v>
      </c>
      <c r="D72" s="19" t="s">
        <v>519</v>
      </c>
      <c r="E72" s="19" t="s">
        <v>35</v>
      </c>
      <c r="F72" s="19" t="s">
        <v>1425</v>
      </c>
      <c r="G72" s="19" t="s">
        <v>32</v>
      </c>
      <c r="H72" s="17">
        <v>48245.0</v>
      </c>
      <c r="I72" s="17">
        <v>41.22</v>
      </c>
      <c r="J72" s="19" t="s">
        <v>1426</v>
      </c>
      <c r="K72" s="19" t="s">
        <v>45</v>
      </c>
      <c r="L72" s="17">
        <v>37631.0</v>
      </c>
      <c r="M72" s="17">
        <v>32.15</v>
      </c>
      <c r="N72" s="17">
        <v>10614.0</v>
      </c>
      <c r="O72" s="17">
        <v>9.07</v>
      </c>
      <c r="P72" s="17">
        <v>77.81</v>
      </c>
    </row>
    <row r="73">
      <c r="A73" s="17">
        <v>70.0</v>
      </c>
      <c r="B73" s="19" t="s">
        <v>491</v>
      </c>
      <c r="C73" s="19" t="s">
        <v>1197</v>
      </c>
      <c r="D73" s="19" t="s">
        <v>519</v>
      </c>
      <c r="E73" s="19" t="s">
        <v>35</v>
      </c>
      <c r="F73" s="19" t="s">
        <v>1427</v>
      </c>
      <c r="G73" s="19" t="s">
        <v>32</v>
      </c>
      <c r="H73" s="17">
        <v>61521.0</v>
      </c>
      <c r="I73" s="17">
        <v>45.69</v>
      </c>
      <c r="J73" s="19" t="s">
        <v>1428</v>
      </c>
      <c r="K73" s="19" t="s">
        <v>45</v>
      </c>
      <c r="L73" s="17">
        <v>35945.0</v>
      </c>
      <c r="M73" s="17">
        <v>26.7</v>
      </c>
      <c r="N73" s="17">
        <v>25576.0</v>
      </c>
      <c r="O73" s="17">
        <v>18.99</v>
      </c>
      <c r="P73" s="17">
        <v>76.62</v>
      </c>
    </row>
    <row r="74">
      <c r="A74" s="17">
        <v>71.0</v>
      </c>
      <c r="B74" s="19" t="s">
        <v>493</v>
      </c>
      <c r="C74" s="19" t="s">
        <v>1197</v>
      </c>
      <c r="D74" s="19" t="s">
        <v>495</v>
      </c>
      <c r="E74" s="19" t="s">
        <v>35</v>
      </c>
      <c r="F74" s="19" t="s">
        <v>1278</v>
      </c>
      <c r="G74" s="19" t="s">
        <v>32</v>
      </c>
      <c r="H74" s="17">
        <v>67313.0</v>
      </c>
      <c r="I74" s="17">
        <v>44.77</v>
      </c>
      <c r="J74" s="19" t="s">
        <v>1429</v>
      </c>
      <c r="K74" s="19" t="s">
        <v>45</v>
      </c>
      <c r="L74" s="17">
        <v>39739.0</v>
      </c>
      <c r="M74" s="17">
        <v>26.43</v>
      </c>
      <c r="N74" s="17">
        <v>27574.0</v>
      </c>
      <c r="O74" s="17">
        <v>18.34</v>
      </c>
      <c r="P74" s="17">
        <v>78.16</v>
      </c>
    </row>
    <row r="75">
      <c r="A75" s="17">
        <v>72.0</v>
      </c>
      <c r="B75" s="19" t="s">
        <v>494</v>
      </c>
      <c r="C75" s="7"/>
      <c r="D75" s="19" t="s">
        <v>495</v>
      </c>
      <c r="E75" s="19" t="s">
        <v>35</v>
      </c>
      <c r="F75" s="19" t="s">
        <v>1430</v>
      </c>
      <c r="G75" s="19" t="s">
        <v>45</v>
      </c>
      <c r="H75" s="17">
        <v>48668.0</v>
      </c>
      <c r="I75" s="17">
        <v>35.48</v>
      </c>
      <c r="J75" s="19" t="s">
        <v>1431</v>
      </c>
      <c r="K75" s="19" t="s">
        <v>32</v>
      </c>
      <c r="L75" s="17">
        <v>41418.0</v>
      </c>
      <c r="M75" s="17">
        <v>30.19</v>
      </c>
      <c r="N75" s="17">
        <v>7250.0</v>
      </c>
      <c r="O75" s="17">
        <v>5.29</v>
      </c>
      <c r="P75" s="17">
        <v>81.45</v>
      </c>
    </row>
    <row r="76">
      <c r="A76" s="17">
        <v>73.0</v>
      </c>
      <c r="B76" s="19" t="s">
        <v>495</v>
      </c>
      <c r="C76" s="7"/>
      <c r="D76" s="19" t="s">
        <v>495</v>
      </c>
      <c r="E76" s="19" t="s">
        <v>35</v>
      </c>
      <c r="F76" s="19" t="s">
        <v>1432</v>
      </c>
      <c r="G76" s="19" t="s">
        <v>45</v>
      </c>
      <c r="H76" s="17">
        <v>52357.0</v>
      </c>
      <c r="I76" s="17">
        <v>36.19</v>
      </c>
      <c r="J76" s="19" t="s">
        <v>1433</v>
      </c>
      <c r="K76" s="19" t="s">
        <v>32</v>
      </c>
      <c r="L76" s="17">
        <v>50593.0</v>
      </c>
      <c r="M76" s="17">
        <v>34.97</v>
      </c>
      <c r="N76" s="17">
        <v>1764.0</v>
      </c>
      <c r="O76" s="17">
        <v>1.22</v>
      </c>
      <c r="P76" s="17">
        <v>74.77</v>
      </c>
    </row>
    <row r="77">
      <c r="A77" s="17">
        <v>74.0</v>
      </c>
      <c r="B77" s="19" t="s">
        <v>496</v>
      </c>
      <c r="C77" s="7"/>
      <c r="D77" s="19" t="s">
        <v>495</v>
      </c>
      <c r="E77" s="19" t="s">
        <v>35</v>
      </c>
      <c r="F77" s="19" t="s">
        <v>1434</v>
      </c>
      <c r="G77" s="19" t="s">
        <v>45</v>
      </c>
      <c r="H77" s="17">
        <v>63238.0</v>
      </c>
      <c r="I77" s="17">
        <v>44.23</v>
      </c>
      <c r="J77" s="19" t="s">
        <v>1435</v>
      </c>
      <c r="K77" s="19" t="s">
        <v>51</v>
      </c>
      <c r="L77" s="17">
        <v>41020.0</v>
      </c>
      <c r="M77" s="17">
        <v>28.69</v>
      </c>
      <c r="N77" s="17">
        <v>22218.0</v>
      </c>
      <c r="O77" s="17">
        <v>15.54</v>
      </c>
      <c r="P77" s="17">
        <v>82.11</v>
      </c>
    </row>
    <row r="78">
      <c r="A78" s="17">
        <v>75.0</v>
      </c>
      <c r="B78" s="19" t="s">
        <v>497</v>
      </c>
      <c r="C78" s="7"/>
      <c r="D78" s="19" t="s">
        <v>562</v>
      </c>
      <c r="E78" s="19" t="s">
        <v>35</v>
      </c>
      <c r="F78" s="19" t="s">
        <v>1436</v>
      </c>
      <c r="G78" s="19" t="s">
        <v>45</v>
      </c>
      <c r="H78" s="17">
        <v>69899.0</v>
      </c>
      <c r="I78" s="17">
        <v>46.37</v>
      </c>
      <c r="J78" s="19" t="s">
        <v>1437</v>
      </c>
      <c r="K78" s="19" t="s">
        <v>51</v>
      </c>
      <c r="L78" s="17">
        <v>46828.0</v>
      </c>
      <c r="M78" s="17">
        <v>31.07</v>
      </c>
      <c r="N78" s="17">
        <v>23071.0</v>
      </c>
      <c r="O78" s="17">
        <v>15.3</v>
      </c>
      <c r="P78" s="17">
        <v>84.73</v>
      </c>
    </row>
    <row r="79">
      <c r="A79" s="17">
        <v>76.0</v>
      </c>
      <c r="B79" s="19" t="s">
        <v>499</v>
      </c>
      <c r="C79" s="7"/>
      <c r="D79" s="19" t="s">
        <v>562</v>
      </c>
      <c r="E79" s="19" t="s">
        <v>35</v>
      </c>
      <c r="F79" s="19" t="s">
        <v>1312</v>
      </c>
      <c r="G79" s="19" t="s">
        <v>45</v>
      </c>
      <c r="H79" s="17">
        <v>67559.0</v>
      </c>
      <c r="I79" s="17">
        <v>54.26</v>
      </c>
      <c r="J79" s="19" t="s">
        <v>1438</v>
      </c>
      <c r="K79" s="19" t="s">
        <v>53</v>
      </c>
      <c r="L79" s="17">
        <v>37972.0</v>
      </c>
      <c r="M79" s="17">
        <v>30.5</v>
      </c>
      <c r="N79" s="17">
        <v>29587.0</v>
      </c>
      <c r="O79" s="17">
        <v>23.76</v>
      </c>
      <c r="P79" s="17">
        <v>69.94</v>
      </c>
    </row>
    <row r="80">
      <c r="A80" s="17">
        <v>77.0</v>
      </c>
      <c r="B80" s="19" t="s">
        <v>501</v>
      </c>
      <c r="C80" s="19" t="s">
        <v>1197</v>
      </c>
      <c r="D80" s="19" t="s">
        <v>562</v>
      </c>
      <c r="E80" s="19" t="s">
        <v>35</v>
      </c>
      <c r="F80" s="19" t="s">
        <v>1439</v>
      </c>
      <c r="G80" s="19" t="s">
        <v>45</v>
      </c>
      <c r="H80" s="17">
        <v>71037.0</v>
      </c>
      <c r="I80" s="17">
        <v>45.6</v>
      </c>
      <c r="J80" s="19" t="s">
        <v>1315</v>
      </c>
      <c r="K80" s="19" t="s">
        <v>51</v>
      </c>
      <c r="L80" s="17">
        <v>49657.0</v>
      </c>
      <c r="M80" s="17">
        <v>31.88</v>
      </c>
      <c r="N80" s="17">
        <v>21380.0</v>
      </c>
      <c r="O80" s="17">
        <v>13.72</v>
      </c>
      <c r="P80" s="17">
        <v>83.87</v>
      </c>
    </row>
    <row r="81">
      <c r="A81" s="17">
        <v>78.0</v>
      </c>
      <c r="B81" s="19" t="s">
        <v>506</v>
      </c>
      <c r="C81" s="7"/>
      <c r="D81" s="19" t="s">
        <v>562</v>
      </c>
      <c r="E81" s="19" t="s">
        <v>35</v>
      </c>
      <c r="F81" s="19" t="s">
        <v>1440</v>
      </c>
      <c r="G81" s="19" t="s">
        <v>45</v>
      </c>
      <c r="H81" s="17">
        <v>62787.0</v>
      </c>
      <c r="I81" s="17">
        <v>45.97</v>
      </c>
      <c r="J81" s="19" t="s">
        <v>1317</v>
      </c>
      <c r="K81" s="19" t="s">
        <v>51</v>
      </c>
      <c r="L81" s="17">
        <v>56991.0</v>
      </c>
      <c r="M81" s="17">
        <v>41.73</v>
      </c>
      <c r="N81" s="17">
        <v>5796.0</v>
      </c>
      <c r="O81" s="17">
        <v>4.24</v>
      </c>
      <c r="P81" s="17">
        <v>86.61</v>
      </c>
    </row>
    <row r="82">
      <c r="A82" s="17">
        <v>79.0</v>
      </c>
      <c r="B82" s="19" t="s">
        <v>508</v>
      </c>
      <c r="C82" s="7"/>
      <c r="D82" s="19" t="s">
        <v>510</v>
      </c>
      <c r="E82" s="19" t="s">
        <v>35</v>
      </c>
      <c r="F82" s="19" t="s">
        <v>1320</v>
      </c>
      <c r="G82" s="19" t="s">
        <v>51</v>
      </c>
      <c r="H82" s="17">
        <v>75271.0</v>
      </c>
      <c r="I82" s="17">
        <v>44.82</v>
      </c>
      <c r="J82" s="19" t="s">
        <v>1287</v>
      </c>
      <c r="K82" s="19" t="s">
        <v>32</v>
      </c>
      <c r="L82" s="17">
        <v>56771.0</v>
      </c>
      <c r="M82" s="17">
        <v>33.8</v>
      </c>
      <c r="N82" s="17">
        <v>18500.0</v>
      </c>
      <c r="O82" s="17">
        <v>11.02</v>
      </c>
      <c r="P82" s="17">
        <v>86.34</v>
      </c>
    </row>
    <row r="83">
      <c r="A83" s="17">
        <v>80.0</v>
      </c>
      <c r="B83" s="19" t="s">
        <v>510</v>
      </c>
      <c r="C83" s="7"/>
      <c r="D83" s="19" t="s">
        <v>510</v>
      </c>
      <c r="E83" s="19" t="s">
        <v>35</v>
      </c>
      <c r="F83" s="19" t="s">
        <v>1441</v>
      </c>
      <c r="G83" s="19" t="s">
        <v>45</v>
      </c>
      <c r="H83" s="17">
        <v>39276.0</v>
      </c>
      <c r="I83" s="17">
        <v>27.58</v>
      </c>
      <c r="J83" s="19" t="s">
        <v>1322</v>
      </c>
      <c r="K83" s="19" t="s">
        <v>53</v>
      </c>
      <c r="L83" s="17">
        <v>39011.0</v>
      </c>
      <c r="M83" s="17">
        <v>27.39</v>
      </c>
      <c r="N83" s="17">
        <v>265.0</v>
      </c>
      <c r="O83" s="17">
        <v>0.19</v>
      </c>
      <c r="P83" s="17">
        <v>86.66</v>
      </c>
    </row>
    <row r="84">
      <c r="A84" s="17">
        <v>81.0</v>
      </c>
      <c r="B84" s="19" t="s">
        <v>270</v>
      </c>
      <c r="C84" s="7"/>
      <c r="D84" s="19" t="s">
        <v>510</v>
      </c>
      <c r="E84" s="19" t="s">
        <v>35</v>
      </c>
      <c r="F84" s="19" t="s">
        <v>1442</v>
      </c>
      <c r="G84" s="19" t="s">
        <v>53</v>
      </c>
      <c r="H84" s="17">
        <v>55091.0</v>
      </c>
      <c r="I84" s="17">
        <v>44.46</v>
      </c>
      <c r="J84" s="19" t="s">
        <v>1443</v>
      </c>
      <c r="K84" s="19" t="s">
        <v>45</v>
      </c>
      <c r="L84" s="17">
        <v>51812.0</v>
      </c>
      <c r="M84" s="17">
        <v>41.81</v>
      </c>
      <c r="N84" s="17">
        <v>3279.0</v>
      </c>
      <c r="O84" s="17">
        <v>2.65</v>
      </c>
      <c r="P84" s="17">
        <v>77.61</v>
      </c>
    </row>
    <row r="85">
      <c r="A85" s="17">
        <v>82.0</v>
      </c>
      <c r="B85" s="19" t="s">
        <v>512</v>
      </c>
      <c r="C85" s="19" t="s">
        <v>1197</v>
      </c>
      <c r="D85" s="19" t="s">
        <v>510</v>
      </c>
      <c r="E85" s="19" t="s">
        <v>35</v>
      </c>
      <c r="F85" s="19" t="s">
        <v>1444</v>
      </c>
      <c r="G85" s="19" t="s">
        <v>45</v>
      </c>
      <c r="H85" s="17">
        <v>65607.0</v>
      </c>
      <c r="I85" s="17">
        <v>46.35</v>
      </c>
      <c r="J85" s="19" t="s">
        <v>1352</v>
      </c>
      <c r="K85" s="19" t="s">
        <v>51</v>
      </c>
      <c r="L85" s="17">
        <v>50158.0</v>
      </c>
      <c r="M85" s="17">
        <v>35.44</v>
      </c>
      <c r="N85" s="17">
        <v>15449.0</v>
      </c>
      <c r="O85" s="17">
        <v>10.91</v>
      </c>
      <c r="P85" s="17">
        <v>82.74</v>
      </c>
    </row>
    <row r="86">
      <c r="A86" s="17">
        <v>83.0</v>
      </c>
      <c r="B86" s="19" t="s">
        <v>513</v>
      </c>
      <c r="C86" s="7"/>
      <c r="D86" s="19" t="s">
        <v>569</v>
      </c>
      <c r="E86" s="19" t="s">
        <v>35</v>
      </c>
      <c r="F86" s="19" t="s">
        <v>1445</v>
      </c>
      <c r="G86" s="19" t="s">
        <v>51</v>
      </c>
      <c r="H86" s="17">
        <v>66375.0</v>
      </c>
      <c r="I86" s="17">
        <v>49.95</v>
      </c>
      <c r="J86" s="19" t="s">
        <v>1407</v>
      </c>
      <c r="K86" s="19" t="s">
        <v>45</v>
      </c>
      <c r="L86" s="17">
        <v>43605.0</v>
      </c>
      <c r="M86" s="17">
        <v>32.82</v>
      </c>
      <c r="N86" s="17">
        <v>22770.0</v>
      </c>
      <c r="O86" s="17">
        <v>17.13</v>
      </c>
      <c r="P86" s="17">
        <v>84.97</v>
      </c>
    </row>
    <row r="87">
      <c r="A87" s="17">
        <v>84.0</v>
      </c>
      <c r="B87" s="19" t="s">
        <v>148</v>
      </c>
      <c r="C87" s="7"/>
      <c r="D87" s="19" t="s">
        <v>569</v>
      </c>
      <c r="E87" s="19" t="s">
        <v>35</v>
      </c>
      <c r="F87" s="19" t="s">
        <v>1446</v>
      </c>
      <c r="G87" s="19" t="s">
        <v>45</v>
      </c>
      <c r="H87" s="17">
        <v>63500.0</v>
      </c>
      <c r="I87" s="17">
        <v>45.9</v>
      </c>
      <c r="J87" s="19" t="s">
        <v>1447</v>
      </c>
      <c r="K87" s="19" t="s">
        <v>51</v>
      </c>
      <c r="L87" s="17">
        <v>47288.0</v>
      </c>
      <c r="M87" s="17">
        <v>34.18</v>
      </c>
      <c r="N87" s="17">
        <v>16212.0</v>
      </c>
      <c r="O87" s="17">
        <v>11.72</v>
      </c>
      <c r="P87" s="17">
        <v>88.43</v>
      </c>
    </row>
    <row r="88">
      <c r="A88" s="17">
        <v>85.0</v>
      </c>
      <c r="B88" s="19" t="s">
        <v>514</v>
      </c>
      <c r="C88" s="19" t="s">
        <v>1197</v>
      </c>
      <c r="D88" s="19" t="s">
        <v>569</v>
      </c>
      <c r="E88" s="19" t="s">
        <v>35</v>
      </c>
      <c r="F88" s="19" t="s">
        <v>1448</v>
      </c>
      <c r="G88" s="19" t="s">
        <v>45</v>
      </c>
      <c r="H88" s="17">
        <v>49098.0</v>
      </c>
      <c r="I88" s="17">
        <v>36.29</v>
      </c>
      <c r="J88" s="19" t="s">
        <v>1449</v>
      </c>
      <c r="K88" s="19" t="s">
        <v>51</v>
      </c>
      <c r="L88" s="17">
        <v>44109.0</v>
      </c>
      <c r="M88" s="17">
        <v>32.6</v>
      </c>
      <c r="N88" s="17">
        <v>4989.0</v>
      </c>
      <c r="O88" s="17">
        <v>3.69</v>
      </c>
      <c r="P88" s="17">
        <v>82.08</v>
      </c>
    </row>
    <row r="89">
      <c r="A89" s="17">
        <v>86.0</v>
      </c>
      <c r="B89" s="19" t="s">
        <v>516</v>
      </c>
      <c r="C89" s="7"/>
      <c r="D89" s="19" t="s">
        <v>569</v>
      </c>
      <c r="E89" s="19" t="s">
        <v>35</v>
      </c>
      <c r="F89" s="19" t="s">
        <v>1337</v>
      </c>
      <c r="G89" s="19" t="s">
        <v>51</v>
      </c>
      <c r="H89" s="17">
        <v>44894.0</v>
      </c>
      <c r="I89" s="17">
        <v>30.7</v>
      </c>
      <c r="J89" s="19" t="s">
        <v>1450</v>
      </c>
      <c r="K89" s="19" t="s">
        <v>45</v>
      </c>
      <c r="L89" s="17">
        <v>36914.0</v>
      </c>
      <c r="M89" s="17">
        <v>25.24</v>
      </c>
      <c r="N89" s="17">
        <v>7980.0</v>
      </c>
      <c r="O89" s="17">
        <v>5.46</v>
      </c>
      <c r="P89" s="17">
        <v>83.03</v>
      </c>
    </row>
    <row r="90">
      <c r="A90" s="17">
        <v>87.0</v>
      </c>
      <c r="B90" s="19" t="s">
        <v>517</v>
      </c>
      <c r="C90" s="7"/>
      <c r="D90" s="19" t="s">
        <v>517</v>
      </c>
      <c r="E90" s="19" t="s">
        <v>35</v>
      </c>
      <c r="F90" s="19" t="s">
        <v>1451</v>
      </c>
      <c r="G90" s="19" t="s">
        <v>45</v>
      </c>
      <c r="H90" s="17">
        <v>51026.0</v>
      </c>
      <c r="I90" s="17">
        <v>40.61</v>
      </c>
      <c r="J90" s="19" t="s">
        <v>753</v>
      </c>
      <c r="K90" s="19" t="s">
        <v>32</v>
      </c>
      <c r="L90" s="17">
        <v>39367.0</v>
      </c>
      <c r="M90" s="17">
        <v>31.33</v>
      </c>
      <c r="N90" s="17">
        <v>11659.0</v>
      </c>
      <c r="O90" s="17">
        <v>9.28</v>
      </c>
      <c r="P90" s="17">
        <v>81.52</v>
      </c>
    </row>
    <row r="91">
      <c r="A91" s="17">
        <v>88.0</v>
      </c>
      <c r="B91" s="19" t="s">
        <v>518</v>
      </c>
      <c r="C91" s="7"/>
      <c r="D91" s="19" t="s">
        <v>517</v>
      </c>
      <c r="E91" s="19" t="s">
        <v>35</v>
      </c>
      <c r="F91" s="19" t="s">
        <v>756</v>
      </c>
      <c r="G91" s="19" t="s">
        <v>32</v>
      </c>
      <c r="H91" s="17">
        <v>47401.0</v>
      </c>
      <c r="I91" s="17">
        <v>38.97</v>
      </c>
      <c r="J91" s="19" t="s">
        <v>1452</v>
      </c>
      <c r="K91" s="19" t="s">
        <v>45</v>
      </c>
      <c r="L91" s="17">
        <v>37326.0</v>
      </c>
      <c r="M91" s="17">
        <v>30.69</v>
      </c>
      <c r="N91" s="17">
        <v>10075.0</v>
      </c>
      <c r="O91" s="17">
        <v>8.28</v>
      </c>
      <c r="P91" s="17">
        <v>80.05</v>
      </c>
    </row>
    <row r="92">
      <c r="A92" s="17">
        <v>89.0</v>
      </c>
      <c r="B92" s="19" t="s">
        <v>520</v>
      </c>
      <c r="C92" s="19" t="s">
        <v>1197</v>
      </c>
      <c r="D92" s="19" t="s">
        <v>517</v>
      </c>
      <c r="E92" s="19" t="s">
        <v>35</v>
      </c>
      <c r="F92" s="19" t="s">
        <v>1453</v>
      </c>
      <c r="G92" s="19" t="s">
        <v>32</v>
      </c>
      <c r="H92" s="17">
        <v>45344.0</v>
      </c>
      <c r="I92" s="17">
        <v>38.05</v>
      </c>
      <c r="J92" s="19" t="s">
        <v>1454</v>
      </c>
      <c r="K92" s="19" t="s">
        <v>45</v>
      </c>
      <c r="L92" s="17">
        <v>35351.0</v>
      </c>
      <c r="M92" s="17">
        <v>29.66</v>
      </c>
      <c r="N92" s="17">
        <v>9993.0</v>
      </c>
      <c r="O92" s="17">
        <v>8.39</v>
      </c>
      <c r="P92" s="17">
        <v>83.16</v>
      </c>
    </row>
    <row r="93">
      <c r="A93" s="17">
        <v>90.0</v>
      </c>
      <c r="B93" s="19" t="s">
        <v>522</v>
      </c>
      <c r="C93" s="7"/>
      <c r="D93" s="19" t="s">
        <v>573</v>
      </c>
      <c r="E93" s="19" t="s">
        <v>35</v>
      </c>
      <c r="F93" s="19" t="s">
        <v>1455</v>
      </c>
      <c r="G93" s="19" t="s">
        <v>45</v>
      </c>
      <c r="H93" s="17">
        <v>55269.0</v>
      </c>
      <c r="I93" s="17">
        <v>40.59</v>
      </c>
      <c r="J93" s="19" t="s">
        <v>1344</v>
      </c>
      <c r="K93" s="19" t="s">
        <v>51</v>
      </c>
      <c r="L93" s="17">
        <v>44884.0</v>
      </c>
      <c r="M93" s="17">
        <v>32.96</v>
      </c>
      <c r="N93" s="17">
        <v>10385.0</v>
      </c>
      <c r="O93" s="17">
        <v>7.63</v>
      </c>
      <c r="P93" s="17">
        <v>85.91</v>
      </c>
    </row>
    <row r="94">
      <c r="A94" s="17">
        <v>91.0</v>
      </c>
      <c r="B94" s="19" t="s">
        <v>523</v>
      </c>
      <c r="C94" s="19" t="s">
        <v>1197</v>
      </c>
      <c r="D94" s="19" t="s">
        <v>573</v>
      </c>
      <c r="E94" s="19" t="s">
        <v>35</v>
      </c>
      <c r="F94" s="19" t="s">
        <v>1456</v>
      </c>
      <c r="G94" s="19" t="s">
        <v>45</v>
      </c>
      <c r="H94" s="17">
        <v>51605.0</v>
      </c>
      <c r="I94" s="17">
        <v>34.2</v>
      </c>
      <c r="J94" s="19" t="s">
        <v>760</v>
      </c>
      <c r="K94" s="19" t="s">
        <v>32</v>
      </c>
      <c r="L94" s="17">
        <v>50960.0</v>
      </c>
      <c r="M94" s="17">
        <v>33.77</v>
      </c>
      <c r="N94" s="17">
        <v>645.0</v>
      </c>
      <c r="O94" s="17">
        <v>0.43</v>
      </c>
      <c r="P94" s="17">
        <v>83.93</v>
      </c>
    </row>
    <row r="95">
      <c r="A95" s="17">
        <v>92.0</v>
      </c>
      <c r="B95" s="19" t="s">
        <v>524</v>
      </c>
      <c r="C95" s="7"/>
      <c r="D95" s="19" t="s">
        <v>573</v>
      </c>
      <c r="E95" s="19" t="s">
        <v>35</v>
      </c>
      <c r="F95" s="19" t="s">
        <v>1349</v>
      </c>
      <c r="G95" s="19" t="s">
        <v>45</v>
      </c>
      <c r="H95" s="17">
        <v>63942.0</v>
      </c>
      <c r="I95" s="17">
        <v>42.58</v>
      </c>
      <c r="J95" s="19" t="s">
        <v>1457</v>
      </c>
      <c r="K95" s="19" t="s">
        <v>32</v>
      </c>
      <c r="L95" s="17">
        <v>45462.0</v>
      </c>
      <c r="M95" s="17">
        <v>30.28</v>
      </c>
      <c r="N95" s="17">
        <v>18480.0</v>
      </c>
      <c r="O95" s="17">
        <v>12.3</v>
      </c>
      <c r="P95" s="17">
        <v>73.05</v>
      </c>
    </row>
    <row r="96">
      <c r="A96" s="17">
        <v>93.0</v>
      </c>
      <c r="B96" s="19" t="s">
        <v>526</v>
      </c>
      <c r="C96" s="19" t="s">
        <v>1197</v>
      </c>
      <c r="D96" s="19" t="s">
        <v>573</v>
      </c>
      <c r="E96" s="19" t="s">
        <v>35</v>
      </c>
      <c r="F96" s="19" t="s">
        <v>1458</v>
      </c>
      <c r="G96" s="19" t="s">
        <v>32</v>
      </c>
      <c r="H96" s="17">
        <v>51572.0</v>
      </c>
      <c r="I96" s="17">
        <v>40.98</v>
      </c>
      <c r="J96" s="19" t="s">
        <v>1459</v>
      </c>
      <c r="K96" s="19" t="s">
        <v>51</v>
      </c>
      <c r="L96" s="17">
        <v>40794.0</v>
      </c>
      <c r="M96" s="17">
        <v>32.42</v>
      </c>
      <c r="N96" s="17">
        <v>10778.0</v>
      </c>
      <c r="O96" s="17">
        <v>8.56</v>
      </c>
      <c r="P96" s="17">
        <v>81.14</v>
      </c>
    </row>
    <row r="97">
      <c r="A97" s="17">
        <v>94.0</v>
      </c>
      <c r="B97" s="19" t="s">
        <v>527</v>
      </c>
      <c r="C97" s="7"/>
      <c r="D97" s="19" t="s">
        <v>573</v>
      </c>
      <c r="E97" s="19" t="s">
        <v>35</v>
      </c>
      <c r="F97" s="19" t="s">
        <v>924</v>
      </c>
      <c r="G97" s="19" t="s">
        <v>32</v>
      </c>
      <c r="H97" s="17">
        <v>54553.0</v>
      </c>
      <c r="I97" s="17">
        <v>42.67</v>
      </c>
      <c r="J97" s="19" t="s">
        <v>1460</v>
      </c>
      <c r="K97" s="19" t="s">
        <v>45</v>
      </c>
      <c r="L97" s="17">
        <v>35260.0</v>
      </c>
      <c r="M97" s="17">
        <v>27.58</v>
      </c>
      <c r="N97" s="17">
        <v>19293.0</v>
      </c>
      <c r="O97" s="17">
        <v>15.09</v>
      </c>
      <c r="P97" s="17">
        <v>85.6</v>
      </c>
    </row>
    <row r="98">
      <c r="A98" s="17">
        <v>95.0</v>
      </c>
      <c r="B98" s="19" t="s">
        <v>528</v>
      </c>
      <c r="C98" s="7"/>
      <c r="D98" s="19" t="s">
        <v>573</v>
      </c>
      <c r="E98" s="19" t="s">
        <v>35</v>
      </c>
      <c r="F98" s="19" t="s">
        <v>1461</v>
      </c>
      <c r="G98" s="19" t="s">
        <v>32</v>
      </c>
      <c r="H98" s="17">
        <v>62282.0</v>
      </c>
      <c r="I98" s="17">
        <v>45.55</v>
      </c>
      <c r="J98" s="19" t="s">
        <v>1309</v>
      </c>
      <c r="K98" s="19" t="s">
        <v>51</v>
      </c>
      <c r="L98" s="17">
        <v>47605.0</v>
      </c>
      <c r="M98" s="17">
        <v>34.82</v>
      </c>
      <c r="N98" s="17">
        <v>14677.0</v>
      </c>
      <c r="O98" s="17">
        <v>10.73</v>
      </c>
      <c r="P98" s="17">
        <v>83.98</v>
      </c>
    </row>
    <row r="99">
      <c r="A99" s="17">
        <v>96.0</v>
      </c>
      <c r="B99" s="19" t="s">
        <v>529</v>
      </c>
      <c r="C99" s="7"/>
      <c r="D99" s="19" t="s">
        <v>529</v>
      </c>
      <c r="E99" s="19" t="s">
        <v>35</v>
      </c>
      <c r="F99" s="19" t="s">
        <v>1462</v>
      </c>
      <c r="G99" s="19" t="s">
        <v>32</v>
      </c>
      <c r="H99" s="17">
        <v>70586.0</v>
      </c>
      <c r="I99" s="17">
        <v>40.78</v>
      </c>
      <c r="J99" s="19" t="s">
        <v>1463</v>
      </c>
      <c r="K99" s="19" t="s">
        <v>45</v>
      </c>
      <c r="L99" s="17">
        <v>50117.0</v>
      </c>
      <c r="M99" s="17">
        <v>28.95</v>
      </c>
      <c r="N99" s="17">
        <v>20469.0</v>
      </c>
      <c r="O99" s="17">
        <v>11.83</v>
      </c>
      <c r="P99" s="17">
        <v>83.69</v>
      </c>
    </row>
    <row r="100">
      <c r="A100" s="17">
        <v>97.0</v>
      </c>
      <c r="B100" s="19" t="s">
        <v>531</v>
      </c>
      <c r="C100" s="7"/>
      <c r="D100" s="19" t="s">
        <v>529</v>
      </c>
      <c r="E100" s="19" t="s">
        <v>35</v>
      </c>
      <c r="F100" s="19" t="s">
        <v>1464</v>
      </c>
      <c r="G100" s="19" t="s">
        <v>51</v>
      </c>
      <c r="H100" s="17">
        <v>59420.0</v>
      </c>
      <c r="I100" s="17">
        <v>38.94</v>
      </c>
      <c r="J100" s="19" t="s">
        <v>1465</v>
      </c>
      <c r="K100" s="19" t="s">
        <v>45</v>
      </c>
      <c r="L100" s="17">
        <v>50563.0</v>
      </c>
      <c r="M100" s="17">
        <v>33.14</v>
      </c>
      <c r="N100" s="17">
        <v>8857.0</v>
      </c>
      <c r="O100" s="17">
        <v>5.8</v>
      </c>
      <c r="P100" s="17">
        <v>88.17</v>
      </c>
    </row>
    <row r="101">
      <c r="A101" s="17">
        <v>98.0</v>
      </c>
      <c r="B101" s="19" t="s">
        <v>532</v>
      </c>
      <c r="C101" s="19" t="s">
        <v>1197</v>
      </c>
      <c r="D101" s="19" t="s">
        <v>529</v>
      </c>
      <c r="E101" s="19" t="s">
        <v>35</v>
      </c>
      <c r="F101" s="19" t="s">
        <v>1150</v>
      </c>
      <c r="G101" s="19" t="s">
        <v>32</v>
      </c>
      <c r="H101" s="17">
        <v>52265.0</v>
      </c>
      <c r="I101" s="17">
        <v>32.37</v>
      </c>
      <c r="J101" s="19" t="s">
        <v>1466</v>
      </c>
      <c r="K101" s="19" t="s">
        <v>45</v>
      </c>
      <c r="L101" s="17">
        <v>50989.0</v>
      </c>
      <c r="M101" s="17">
        <v>31.58</v>
      </c>
      <c r="N101" s="17">
        <v>1276.0</v>
      </c>
      <c r="O101" s="17">
        <v>0.79</v>
      </c>
      <c r="P101" s="17">
        <v>87.17</v>
      </c>
    </row>
    <row r="102">
      <c r="A102" s="17">
        <v>99.0</v>
      </c>
      <c r="B102" s="19" t="s">
        <v>533</v>
      </c>
      <c r="C102" s="7"/>
      <c r="D102" s="19" t="s">
        <v>545</v>
      </c>
      <c r="E102" s="19" t="s">
        <v>35</v>
      </c>
      <c r="F102" s="19" t="s">
        <v>1364</v>
      </c>
      <c r="G102" s="19" t="s">
        <v>51</v>
      </c>
      <c r="H102" s="17">
        <v>65550.0</v>
      </c>
      <c r="I102" s="17">
        <v>47.76</v>
      </c>
      <c r="J102" s="19" t="s">
        <v>1467</v>
      </c>
      <c r="K102" s="19" t="s">
        <v>45</v>
      </c>
      <c r="L102" s="17">
        <v>38735.0</v>
      </c>
      <c r="M102" s="17">
        <v>28.22</v>
      </c>
      <c r="N102" s="17">
        <v>26815.0</v>
      </c>
      <c r="O102" s="17">
        <v>19.54</v>
      </c>
      <c r="P102" s="17">
        <v>84.66</v>
      </c>
    </row>
    <row r="103">
      <c r="A103" s="17">
        <v>100.0</v>
      </c>
      <c r="B103" s="19" t="s">
        <v>534</v>
      </c>
      <c r="C103" s="7"/>
      <c r="D103" s="19" t="s">
        <v>545</v>
      </c>
      <c r="E103" s="19" t="s">
        <v>35</v>
      </c>
      <c r="F103" s="19" t="s">
        <v>1165</v>
      </c>
      <c r="G103" s="19" t="s">
        <v>32</v>
      </c>
      <c r="H103" s="17">
        <v>46434.0</v>
      </c>
      <c r="I103" s="17">
        <v>32.13</v>
      </c>
      <c r="J103" s="19" t="s">
        <v>1468</v>
      </c>
      <c r="K103" s="19" t="s">
        <v>45</v>
      </c>
      <c r="L103" s="17">
        <v>44789.0</v>
      </c>
      <c r="M103" s="17">
        <v>30.99</v>
      </c>
      <c r="N103" s="17">
        <v>1645.0</v>
      </c>
      <c r="O103" s="17">
        <v>1.14</v>
      </c>
      <c r="P103" s="17">
        <v>82.96</v>
      </c>
    </row>
    <row r="104">
      <c r="A104" s="17">
        <v>101.0</v>
      </c>
      <c r="B104" s="19" t="s">
        <v>536</v>
      </c>
      <c r="C104" s="7"/>
      <c r="D104" s="19" t="s">
        <v>545</v>
      </c>
      <c r="E104" s="19" t="s">
        <v>35</v>
      </c>
      <c r="F104" s="19" t="s">
        <v>1166</v>
      </c>
      <c r="G104" s="19" t="s">
        <v>32</v>
      </c>
      <c r="H104" s="17">
        <v>72815.0</v>
      </c>
      <c r="I104" s="17">
        <v>47.38</v>
      </c>
      <c r="J104" s="19" t="s">
        <v>1469</v>
      </c>
      <c r="K104" s="19" t="s">
        <v>51</v>
      </c>
      <c r="L104" s="17">
        <v>42508.0</v>
      </c>
      <c r="M104" s="17">
        <v>27.66</v>
      </c>
      <c r="N104" s="17">
        <v>30307.0</v>
      </c>
      <c r="O104" s="17">
        <v>19.72</v>
      </c>
      <c r="P104" s="17">
        <v>82.94</v>
      </c>
    </row>
    <row r="105">
      <c r="A105" s="17">
        <v>102.0</v>
      </c>
      <c r="B105" s="19" t="s">
        <v>537</v>
      </c>
      <c r="C105" s="19" t="s">
        <v>1197</v>
      </c>
      <c r="D105" s="19" t="s">
        <v>538</v>
      </c>
      <c r="E105" s="19" t="s">
        <v>35</v>
      </c>
      <c r="F105" s="19" t="s">
        <v>1470</v>
      </c>
      <c r="G105" s="19" t="s">
        <v>32</v>
      </c>
      <c r="H105" s="17">
        <v>57095.0</v>
      </c>
      <c r="I105" s="17">
        <v>45.15</v>
      </c>
      <c r="J105" s="19" t="s">
        <v>1471</v>
      </c>
      <c r="K105" s="19" t="s">
        <v>51</v>
      </c>
      <c r="L105" s="17">
        <v>36311.0</v>
      </c>
      <c r="M105" s="17">
        <v>28.72</v>
      </c>
      <c r="N105" s="17">
        <v>20784.0</v>
      </c>
      <c r="O105" s="17">
        <v>16.43</v>
      </c>
      <c r="P105" s="17">
        <v>82.55</v>
      </c>
    </row>
    <row r="106">
      <c r="A106" s="17">
        <v>103.0</v>
      </c>
      <c r="B106" s="19" t="s">
        <v>538</v>
      </c>
      <c r="C106" s="7"/>
      <c r="D106" s="19" t="s">
        <v>538</v>
      </c>
      <c r="E106" s="19" t="s">
        <v>35</v>
      </c>
      <c r="F106" s="19" t="s">
        <v>1472</v>
      </c>
      <c r="G106" s="19" t="s">
        <v>32</v>
      </c>
      <c r="H106" s="17">
        <v>47606.0</v>
      </c>
      <c r="I106" s="17">
        <v>35.72</v>
      </c>
      <c r="J106" s="19" t="s">
        <v>1473</v>
      </c>
      <c r="K106" s="19" t="s">
        <v>45</v>
      </c>
      <c r="L106" s="17">
        <v>45174.0</v>
      </c>
      <c r="M106" s="17">
        <v>33.9</v>
      </c>
      <c r="N106" s="17">
        <v>2432.0</v>
      </c>
      <c r="O106" s="17">
        <v>1.82</v>
      </c>
      <c r="P106" s="17">
        <v>77.5</v>
      </c>
    </row>
    <row r="107">
      <c r="A107" s="17">
        <v>104.0</v>
      </c>
      <c r="B107" s="19" t="s">
        <v>540</v>
      </c>
      <c r="C107" s="19" t="s">
        <v>1197</v>
      </c>
      <c r="D107" s="19" t="s">
        <v>538</v>
      </c>
      <c r="E107" s="19" t="s">
        <v>35</v>
      </c>
      <c r="F107" s="19" t="s">
        <v>1224</v>
      </c>
      <c r="G107" s="19" t="s">
        <v>32</v>
      </c>
      <c r="H107" s="17">
        <v>57551.0</v>
      </c>
      <c r="I107" s="17">
        <v>46.12</v>
      </c>
      <c r="J107" s="19" t="s">
        <v>1474</v>
      </c>
      <c r="K107" s="19" t="s">
        <v>51</v>
      </c>
      <c r="L107" s="17">
        <v>30487.0</v>
      </c>
      <c r="M107" s="17">
        <v>24.43</v>
      </c>
      <c r="N107" s="17">
        <v>27064.0</v>
      </c>
      <c r="O107" s="17">
        <v>21.69</v>
      </c>
      <c r="P107" s="17">
        <v>80.25</v>
      </c>
    </row>
    <row r="108">
      <c r="A108" s="17">
        <v>105.0</v>
      </c>
      <c r="B108" s="19" t="s">
        <v>542</v>
      </c>
      <c r="C108" s="7"/>
      <c r="D108" s="19" t="s">
        <v>542</v>
      </c>
      <c r="E108" s="19" t="s">
        <v>35</v>
      </c>
      <c r="F108" s="19" t="s">
        <v>1380</v>
      </c>
      <c r="G108" s="19" t="s">
        <v>45</v>
      </c>
      <c r="H108" s="17">
        <v>58982.0</v>
      </c>
      <c r="I108" s="17">
        <v>46.94</v>
      </c>
      <c r="J108" s="19" t="s">
        <v>1475</v>
      </c>
      <c r="K108" s="19" t="s">
        <v>51</v>
      </c>
      <c r="L108" s="17">
        <v>46280.0</v>
      </c>
      <c r="M108" s="17">
        <v>36.83</v>
      </c>
      <c r="N108" s="17">
        <v>12702.0</v>
      </c>
      <c r="O108" s="17">
        <v>10.11</v>
      </c>
      <c r="P108" s="17">
        <v>84.16</v>
      </c>
    </row>
    <row r="109">
      <c r="A109" s="17">
        <v>106.0</v>
      </c>
      <c r="B109" s="19" t="s">
        <v>543</v>
      </c>
      <c r="C109" s="7"/>
      <c r="D109" s="19" t="s">
        <v>542</v>
      </c>
      <c r="E109" s="19" t="s">
        <v>35</v>
      </c>
      <c r="F109" s="19" t="s">
        <v>1476</v>
      </c>
      <c r="G109" s="19" t="s">
        <v>45</v>
      </c>
      <c r="H109" s="17">
        <v>50994.0</v>
      </c>
      <c r="I109" s="17">
        <v>39.02</v>
      </c>
      <c r="J109" s="19" t="s">
        <v>1477</v>
      </c>
      <c r="K109" s="19" t="s">
        <v>51</v>
      </c>
      <c r="L109" s="17">
        <v>39115.0</v>
      </c>
      <c r="M109" s="17">
        <v>29.93</v>
      </c>
      <c r="N109" s="17">
        <v>11879.0</v>
      </c>
      <c r="O109" s="17">
        <v>9.09</v>
      </c>
      <c r="P109" s="17">
        <v>83.65</v>
      </c>
    </row>
    <row r="110">
      <c r="A110" s="17">
        <v>107.0</v>
      </c>
      <c r="B110" s="19" t="s">
        <v>544</v>
      </c>
      <c r="C110" s="7"/>
      <c r="D110" s="19" t="s">
        <v>545</v>
      </c>
      <c r="E110" s="19" t="s">
        <v>35</v>
      </c>
      <c r="F110" s="19" t="s">
        <v>1385</v>
      </c>
      <c r="G110" s="19" t="s">
        <v>45</v>
      </c>
      <c r="H110" s="17">
        <v>49347.0</v>
      </c>
      <c r="I110" s="17">
        <v>38.62</v>
      </c>
      <c r="J110" s="19" t="s">
        <v>1478</v>
      </c>
      <c r="K110" s="19" t="s">
        <v>32</v>
      </c>
      <c r="L110" s="17">
        <v>46536.0</v>
      </c>
      <c r="M110" s="17">
        <v>36.42</v>
      </c>
      <c r="N110" s="17">
        <v>2811.0</v>
      </c>
      <c r="O110" s="17">
        <v>2.2</v>
      </c>
      <c r="P110" s="17">
        <v>80.61</v>
      </c>
    </row>
    <row r="111">
      <c r="A111" s="17">
        <v>108.0</v>
      </c>
      <c r="B111" s="19" t="s">
        <v>545</v>
      </c>
      <c r="C111" s="7"/>
      <c r="D111" s="19" t="s">
        <v>545</v>
      </c>
      <c r="E111" s="19" t="s">
        <v>35</v>
      </c>
      <c r="F111" s="19" t="s">
        <v>1387</v>
      </c>
      <c r="G111" s="19" t="s">
        <v>45</v>
      </c>
      <c r="H111" s="17">
        <v>67310.0</v>
      </c>
      <c r="I111" s="17">
        <v>47.4</v>
      </c>
      <c r="J111" s="19" t="s">
        <v>1479</v>
      </c>
      <c r="K111" s="19" t="s">
        <v>32</v>
      </c>
      <c r="L111" s="17">
        <v>36498.0</v>
      </c>
      <c r="M111" s="17">
        <v>25.7</v>
      </c>
      <c r="N111" s="17">
        <v>30812.0</v>
      </c>
      <c r="O111" s="17">
        <v>21.7</v>
      </c>
      <c r="P111" s="17">
        <v>80.18</v>
      </c>
    </row>
    <row r="112">
      <c r="A112" s="17">
        <v>109.0</v>
      </c>
      <c r="B112" s="19" t="s">
        <v>547</v>
      </c>
      <c r="C112" s="19" t="s">
        <v>1197</v>
      </c>
      <c r="D112" s="19" t="s">
        <v>555</v>
      </c>
      <c r="E112" s="19" t="s">
        <v>35</v>
      </c>
      <c r="F112" s="19" t="s">
        <v>1480</v>
      </c>
      <c r="G112" s="19" t="s">
        <v>45</v>
      </c>
      <c r="H112" s="17">
        <v>60861.0</v>
      </c>
      <c r="I112" s="17">
        <v>43.12</v>
      </c>
      <c r="J112" s="19" t="s">
        <v>1481</v>
      </c>
      <c r="K112" s="19" t="s">
        <v>32</v>
      </c>
      <c r="L112" s="17">
        <v>41866.0</v>
      </c>
      <c r="M112" s="17">
        <v>29.66</v>
      </c>
      <c r="N112" s="17">
        <v>18995.0</v>
      </c>
      <c r="O112" s="17">
        <v>13.46</v>
      </c>
      <c r="P112" s="17">
        <v>80.35</v>
      </c>
    </row>
    <row r="113">
      <c r="A113" s="17">
        <v>110.0</v>
      </c>
      <c r="B113" s="19" t="s">
        <v>548</v>
      </c>
      <c r="C113" s="7"/>
      <c r="D113" s="19" t="s">
        <v>555</v>
      </c>
      <c r="E113" s="19" t="s">
        <v>35</v>
      </c>
      <c r="F113" s="19" t="s">
        <v>1482</v>
      </c>
      <c r="G113" s="19" t="s">
        <v>45</v>
      </c>
      <c r="H113" s="17">
        <v>68891.0</v>
      </c>
      <c r="I113" s="17">
        <v>47.3</v>
      </c>
      <c r="J113" s="19" t="s">
        <v>1483</v>
      </c>
      <c r="K113" s="19" t="s">
        <v>32</v>
      </c>
      <c r="L113" s="17">
        <v>41662.0</v>
      </c>
      <c r="M113" s="17">
        <v>28.61</v>
      </c>
      <c r="N113" s="17">
        <v>27229.0</v>
      </c>
      <c r="O113" s="17">
        <v>18.69</v>
      </c>
      <c r="P113" s="17">
        <v>70.85</v>
      </c>
    </row>
    <row r="114">
      <c r="A114" s="17">
        <v>111.0</v>
      </c>
      <c r="B114" s="19" t="s">
        <v>549</v>
      </c>
      <c r="C114" s="7"/>
      <c r="D114" s="19" t="s">
        <v>555</v>
      </c>
      <c r="E114" s="19" t="s">
        <v>35</v>
      </c>
      <c r="F114" s="19" t="s">
        <v>1484</v>
      </c>
      <c r="G114" s="19" t="s">
        <v>45</v>
      </c>
      <c r="H114" s="17">
        <v>59107.0</v>
      </c>
      <c r="I114" s="17">
        <v>46.52</v>
      </c>
      <c r="J114" s="19" t="s">
        <v>1485</v>
      </c>
      <c r="K114" s="19" t="s">
        <v>32</v>
      </c>
      <c r="L114" s="17">
        <v>26542.0</v>
      </c>
      <c r="M114" s="17">
        <v>20.89</v>
      </c>
      <c r="N114" s="17">
        <v>32565.0</v>
      </c>
      <c r="O114" s="17">
        <v>25.63</v>
      </c>
      <c r="P114" s="17">
        <v>76.25</v>
      </c>
    </row>
    <row r="115">
      <c r="A115" s="17">
        <v>112.0</v>
      </c>
      <c r="B115" s="19" t="s">
        <v>551</v>
      </c>
      <c r="C115" s="7"/>
      <c r="D115" s="19" t="s">
        <v>472</v>
      </c>
      <c r="E115" s="19" t="s">
        <v>35</v>
      </c>
      <c r="F115" s="19" t="s">
        <v>1486</v>
      </c>
      <c r="G115" s="19" t="s">
        <v>51</v>
      </c>
      <c r="H115" s="17">
        <v>70792.0</v>
      </c>
      <c r="I115" s="17">
        <v>40.04</v>
      </c>
      <c r="J115" s="19" t="s">
        <v>1487</v>
      </c>
      <c r="K115" s="19" t="s">
        <v>45</v>
      </c>
      <c r="L115" s="17">
        <v>68871.0</v>
      </c>
      <c r="M115" s="17">
        <v>38.95</v>
      </c>
      <c r="N115" s="17">
        <v>1921.0</v>
      </c>
      <c r="O115" s="17">
        <v>1.09</v>
      </c>
      <c r="P115" s="17">
        <v>73.7</v>
      </c>
    </row>
    <row r="116">
      <c r="A116" s="17">
        <v>113.0</v>
      </c>
      <c r="B116" s="19" t="s">
        <v>553</v>
      </c>
      <c r="C116" s="7"/>
      <c r="D116" s="19" t="s">
        <v>555</v>
      </c>
      <c r="E116" s="19" t="s">
        <v>35</v>
      </c>
      <c r="F116" s="19" t="s">
        <v>1488</v>
      </c>
      <c r="G116" s="19" t="s">
        <v>45</v>
      </c>
      <c r="H116" s="17">
        <v>65965.0</v>
      </c>
      <c r="I116" s="17">
        <v>52.92</v>
      </c>
      <c r="J116" s="19" t="s">
        <v>1489</v>
      </c>
      <c r="K116" s="19" t="s">
        <v>51</v>
      </c>
      <c r="L116" s="17">
        <v>29408.0</v>
      </c>
      <c r="M116" s="17">
        <v>23.59</v>
      </c>
      <c r="N116" s="17">
        <v>36557.0</v>
      </c>
      <c r="O116" s="17">
        <v>29.33</v>
      </c>
      <c r="P116" s="17">
        <v>79.94</v>
      </c>
    </row>
    <row r="117">
      <c r="A117" s="17">
        <v>114.0</v>
      </c>
      <c r="B117" s="19" t="s">
        <v>554</v>
      </c>
      <c r="C117" s="7"/>
      <c r="D117" s="19" t="s">
        <v>555</v>
      </c>
      <c r="E117" s="19" t="s">
        <v>35</v>
      </c>
      <c r="F117" s="19" t="s">
        <v>1405</v>
      </c>
      <c r="G117" s="19" t="s">
        <v>51</v>
      </c>
      <c r="H117" s="17">
        <v>58867.0</v>
      </c>
      <c r="I117" s="17">
        <v>35.89</v>
      </c>
      <c r="J117" s="19" t="s">
        <v>1490</v>
      </c>
      <c r="K117" s="19" t="s">
        <v>45</v>
      </c>
      <c r="L117" s="17">
        <v>53997.0</v>
      </c>
      <c r="M117" s="17">
        <v>32.92</v>
      </c>
      <c r="N117" s="17">
        <v>4870.0</v>
      </c>
      <c r="O117" s="17">
        <v>2.97</v>
      </c>
      <c r="P117" s="17">
        <v>80.04</v>
      </c>
    </row>
    <row r="118">
      <c r="A118" s="17">
        <v>115.0</v>
      </c>
      <c r="B118" s="19" t="s">
        <v>555</v>
      </c>
      <c r="C118" s="7"/>
      <c r="D118" s="19" t="s">
        <v>555</v>
      </c>
      <c r="E118" s="19" t="s">
        <v>35</v>
      </c>
      <c r="F118" s="19" t="s">
        <v>1407</v>
      </c>
      <c r="G118" s="19" t="s">
        <v>45</v>
      </c>
      <c r="H118" s="17">
        <v>72586.0</v>
      </c>
      <c r="I118" s="17">
        <v>68.99</v>
      </c>
      <c r="J118" s="19" t="s">
        <v>1381</v>
      </c>
      <c r="K118" s="19" t="s">
        <v>32</v>
      </c>
      <c r="L118" s="17">
        <v>20179.0</v>
      </c>
      <c r="M118" s="17">
        <v>19.18</v>
      </c>
      <c r="N118" s="17">
        <v>52407.0</v>
      </c>
      <c r="O118" s="17">
        <v>49.81</v>
      </c>
      <c r="P118" s="17">
        <v>66.23</v>
      </c>
    </row>
    <row r="119">
      <c r="A119" s="17">
        <v>116.0</v>
      </c>
      <c r="B119" s="19" t="s">
        <v>557</v>
      </c>
      <c r="C119" s="7"/>
      <c r="D119" s="19" t="s">
        <v>555</v>
      </c>
      <c r="E119" s="19" t="s">
        <v>35</v>
      </c>
      <c r="F119" s="19" t="s">
        <v>1491</v>
      </c>
      <c r="G119" s="19" t="s">
        <v>45</v>
      </c>
      <c r="H119" s="17">
        <v>62551.0</v>
      </c>
      <c r="I119" s="17">
        <v>42.21</v>
      </c>
      <c r="J119" s="19" t="s">
        <v>1409</v>
      </c>
      <c r="K119" s="19" t="s">
        <v>51</v>
      </c>
      <c r="L119" s="17">
        <v>52702.0</v>
      </c>
      <c r="M119" s="17">
        <v>35.56</v>
      </c>
      <c r="N119" s="17">
        <v>9849.0</v>
      </c>
      <c r="O119" s="17">
        <v>6.65</v>
      </c>
      <c r="P119" s="17">
        <v>82.99</v>
      </c>
    </row>
    <row r="120">
      <c r="A120" s="17">
        <v>117.0</v>
      </c>
      <c r="B120" s="19" t="s">
        <v>559</v>
      </c>
      <c r="C120" s="19" t="s">
        <v>1197</v>
      </c>
      <c r="D120" s="19" t="s">
        <v>555</v>
      </c>
      <c r="E120" s="19" t="s">
        <v>35</v>
      </c>
      <c r="F120" s="19" t="s">
        <v>1492</v>
      </c>
      <c r="G120" s="19" t="s">
        <v>45</v>
      </c>
      <c r="H120" s="17">
        <v>58008.0</v>
      </c>
      <c r="I120" s="17">
        <v>42.11</v>
      </c>
      <c r="J120" s="19" t="s">
        <v>1411</v>
      </c>
      <c r="K120" s="19" t="s">
        <v>51</v>
      </c>
      <c r="L120" s="17">
        <v>39488.0</v>
      </c>
      <c r="M120" s="17">
        <v>28.67</v>
      </c>
      <c r="N120" s="17">
        <v>18520.0</v>
      </c>
      <c r="O120" s="17">
        <v>13.44</v>
      </c>
      <c r="P120" s="17">
        <v>83.01</v>
      </c>
    </row>
    <row r="124">
      <c r="A124" s="48" t="s">
        <v>1493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4" max="4" width="22.5"/>
    <col customWidth="1" min="8" max="8" width="19.0"/>
  </cols>
  <sheetData>
    <row r="1">
      <c r="A1" s="2" t="s">
        <v>1494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>
      <c r="A3" s="9" t="s">
        <v>1495</v>
      </c>
      <c r="B3" s="9" t="s">
        <v>1496</v>
      </c>
      <c r="C3" s="9" t="s">
        <v>310</v>
      </c>
      <c r="D3" s="9" t="s">
        <v>1184</v>
      </c>
      <c r="E3" s="9" t="s">
        <v>1185</v>
      </c>
      <c r="F3" s="9" t="s">
        <v>1186</v>
      </c>
      <c r="G3" s="9" t="s">
        <v>1497</v>
      </c>
      <c r="H3" s="9" t="s">
        <v>1188</v>
      </c>
      <c r="I3" s="9" t="s">
        <v>1189</v>
      </c>
      <c r="J3" s="9" t="s">
        <v>1190</v>
      </c>
      <c r="K3" s="9" t="s">
        <v>1498</v>
      </c>
      <c r="L3" s="9" t="s">
        <v>1192</v>
      </c>
      <c r="M3" s="9" t="s">
        <v>1193</v>
      </c>
      <c r="N3" s="9" t="s">
        <v>1194</v>
      </c>
    </row>
    <row r="4">
      <c r="A4" s="17">
        <v>1.0</v>
      </c>
      <c r="B4" s="19" t="s">
        <v>244</v>
      </c>
      <c r="C4" s="7"/>
      <c r="D4" s="19" t="s">
        <v>1207</v>
      </c>
      <c r="E4" s="19" t="s">
        <v>45</v>
      </c>
      <c r="F4" s="17">
        <v>364043.0</v>
      </c>
      <c r="G4" s="17">
        <v>33.88</v>
      </c>
      <c r="H4" s="19" t="s">
        <v>1499</v>
      </c>
      <c r="I4" s="19" t="s">
        <v>53</v>
      </c>
      <c r="J4" s="17">
        <v>281182.0</v>
      </c>
      <c r="K4" s="17">
        <v>26.17</v>
      </c>
      <c r="L4" s="17">
        <v>82861.0</v>
      </c>
      <c r="M4" s="17">
        <v>7.71</v>
      </c>
      <c r="N4" s="17">
        <v>67.15</v>
      </c>
    </row>
    <row r="5">
      <c r="A5" s="17">
        <v>2.0</v>
      </c>
      <c r="B5" s="19" t="s">
        <v>272</v>
      </c>
      <c r="C5" s="7"/>
      <c r="D5" s="19" t="s">
        <v>1500</v>
      </c>
      <c r="E5" s="19" t="s">
        <v>45</v>
      </c>
      <c r="F5" s="17">
        <v>255181.0</v>
      </c>
      <c r="G5" s="17">
        <v>28.29</v>
      </c>
      <c r="H5" s="19" t="s">
        <v>273</v>
      </c>
      <c r="I5" s="19" t="s">
        <v>32</v>
      </c>
      <c r="J5" s="17">
        <v>214880.0</v>
      </c>
      <c r="K5" s="17">
        <v>23.82</v>
      </c>
      <c r="L5" s="17">
        <v>40301.0</v>
      </c>
      <c r="M5" s="17">
        <v>4.47</v>
      </c>
      <c r="N5" s="17">
        <v>56.21</v>
      </c>
    </row>
    <row r="6">
      <c r="A6" s="17">
        <v>3.0</v>
      </c>
      <c r="B6" s="19" t="s">
        <v>406</v>
      </c>
      <c r="C6" s="7"/>
      <c r="D6" s="19" t="s">
        <v>1501</v>
      </c>
      <c r="E6" s="19" t="s">
        <v>1228</v>
      </c>
      <c r="F6" s="17">
        <v>404430.0</v>
      </c>
      <c r="G6" s="17">
        <v>38.75</v>
      </c>
      <c r="H6" s="19" t="s">
        <v>1502</v>
      </c>
      <c r="I6" s="19" t="s">
        <v>45</v>
      </c>
      <c r="J6" s="17">
        <v>207310.0</v>
      </c>
      <c r="K6" s="17">
        <v>19.86</v>
      </c>
      <c r="L6" s="17">
        <v>197120.0</v>
      </c>
      <c r="M6" s="17">
        <v>18.89</v>
      </c>
      <c r="N6" s="17">
        <v>62.79</v>
      </c>
    </row>
    <row r="7">
      <c r="A7" s="17">
        <v>4.0</v>
      </c>
      <c r="B7" s="19" t="s">
        <v>436</v>
      </c>
      <c r="C7" s="19" t="s">
        <v>1197</v>
      </c>
      <c r="D7" s="19" t="s">
        <v>1257</v>
      </c>
      <c r="E7" s="19" t="s">
        <v>45</v>
      </c>
      <c r="F7" s="17">
        <v>390053.0</v>
      </c>
      <c r="G7" s="17">
        <v>39.62</v>
      </c>
      <c r="H7" s="19" t="s">
        <v>1235</v>
      </c>
      <c r="I7" s="19" t="s">
        <v>53</v>
      </c>
      <c r="J7" s="17">
        <v>214060.0</v>
      </c>
      <c r="K7" s="17">
        <v>21.74</v>
      </c>
      <c r="L7" s="17">
        <v>175993.0</v>
      </c>
      <c r="M7" s="17">
        <v>17.88</v>
      </c>
      <c r="N7" s="17">
        <v>59.8</v>
      </c>
    </row>
    <row r="8">
      <c r="A8" s="17">
        <v>5.0</v>
      </c>
      <c r="B8" s="19" t="s">
        <v>459</v>
      </c>
      <c r="C8" s="19" t="s">
        <v>1197</v>
      </c>
      <c r="D8" s="19" t="s">
        <v>1503</v>
      </c>
      <c r="E8" s="19" t="s">
        <v>32</v>
      </c>
      <c r="F8" s="17">
        <v>303859.0</v>
      </c>
      <c r="G8" s="17">
        <v>32.22</v>
      </c>
      <c r="H8" s="19" t="s">
        <v>1504</v>
      </c>
      <c r="I8" s="19" t="s">
        <v>45</v>
      </c>
      <c r="J8" s="17">
        <v>259748.0</v>
      </c>
      <c r="K8" s="17">
        <v>27.54</v>
      </c>
      <c r="L8" s="17">
        <v>44111.0</v>
      </c>
      <c r="M8" s="17">
        <v>4.68</v>
      </c>
      <c r="N8" s="17">
        <v>59.21</v>
      </c>
    </row>
    <row r="9">
      <c r="A9" s="17">
        <v>6.0</v>
      </c>
      <c r="B9" s="19" t="s">
        <v>467</v>
      </c>
      <c r="C9" s="7"/>
      <c r="D9" s="19" t="s">
        <v>1505</v>
      </c>
      <c r="E9" s="19" t="s">
        <v>32</v>
      </c>
      <c r="F9" s="17">
        <v>313217.0</v>
      </c>
      <c r="G9" s="17">
        <v>29.25</v>
      </c>
      <c r="H9" s="19" t="s">
        <v>1387</v>
      </c>
      <c r="I9" s="19" t="s">
        <v>45</v>
      </c>
      <c r="J9" s="17">
        <v>302371.0</v>
      </c>
      <c r="K9" s="17">
        <v>28.24</v>
      </c>
      <c r="L9" s="17">
        <v>10846.0</v>
      </c>
      <c r="M9" s="17">
        <v>1.01</v>
      </c>
      <c r="N9" s="17">
        <v>62.18</v>
      </c>
    </row>
    <row r="10">
      <c r="A10" s="17">
        <v>7.0</v>
      </c>
      <c r="B10" s="19" t="s">
        <v>519</v>
      </c>
      <c r="C10" s="7"/>
      <c r="D10" s="19" t="s">
        <v>1331</v>
      </c>
      <c r="E10" s="19" t="s">
        <v>45</v>
      </c>
      <c r="F10" s="17">
        <v>322224.0</v>
      </c>
      <c r="G10" s="17">
        <v>30.57</v>
      </c>
      <c r="H10" s="19" t="s">
        <v>1506</v>
      </c>
      <c r="I10" s="19" t="s">
        <v>53</v>
      </c>
      <c r="J10" s="17">
        <v>301282.0</v>
      </c>
      <c r="K10" s="17">
        <v>28.58</v>
      </c>
      <c r="L10" s="17">
        <v>20942.0</v>
      </c>
      <c r="M10" s="17">
        <v>1.99</v>
      </c>
      <c r="N10" s="17">
        <v>60.23</v>
      </c>
    </row>
    <row r="11">
      <c r="A11" s="17">
        <v>8.0</v>
      </c>
      <c r="B11" s="19" t="s">
        <v>475</v>
      </c>
      <c r="C11" s="19" t="s">
        <v>1197</v>
      </c>
      <c r="D11" s="19" t="s">
        <v>1426</v>
      </c>
      <c r="E11" s="19" t="s">
        <v>45</v>
      </c>
      <c r="F11" s="17">
        <v>332591.0</v>
      </c>
      <c r="G11" s="17">
        <v>34.46</v>
      </c>
      <c r="H11" s="19" t="s">
        <v>1507</v>
      </c>
      <c r="I11" s="19" t="s">
        <v>32</v>
      </c>
      <c r="J11" s="17">
        <v>298389.0</v>
      </c>
      <c r="K11" s="17">
        <v>30.92</v>
      </c>
      <c r="L11" s="17">
        <v>34202.0</v>
      </c>
      <c r="M11" s="17">
        <v>3.54</v>
      </c>
      <c r="N11" s="17">
        <v>62.75</v>
      </c>
    </row>
    <row r="12">
      <c r="A12" s="17">
        <v>9.0</v>
      </c>
      <c r="B12" s="19" t="s">
        <v>517</v>
      </c>
      <c r="C12" s="19" t="s">
        <v>1197</v>
      </c>
      <c r="D12" s="19" t="s">
        <v>1508</v>
      </c>
      <c r="E12" s="19" t="s">
        <v>1228</v>
      </c>
      <c r="F12" s="17">
        <v>298062.0</v>
      </c>
      <c r="G12" s="17">
        <v>29.5</v>
      </c>
      <c r="H12" s="19" t="s">
        <v>1509</v>
      </c>
      <c r="I12" s="19" t="s">
        <v>32</v>
      </c>
      <c r="J12" s="17">
        <v>228009.0</v>
      </c>
      <c r="K12" s="17">
        <v>22.57</v>
      </c>
      <c r="L12" s="17">
        <v>70053.0</v>
      </c>
      <c r="M12" s="17">
        <v>6.93</v>
      </c>
      <c r="N12" s="17">
        <v>63.64</v>
      </c>
    </row>
    <row r="13">
      <c r="A13" s="17">
        <v>10.0</v>
      </c>
      <c r="B13" s="19" t="s">
        <v>1510</v>
      </c>
      <c r="C13" s="7"/>
      <c r="D13" s="19" t="s">
        <v>1511</v>
      </c>
      <c r="E13" s="19" t="s">
        <v>45</v>
      </c>
      <c r="F13" s="17">
        <v>266626.0</v>
      </c>
      <c r="G13" s="17">
        <v>23.83</v>
      </c>
      <c r="H13" s="19" t="s">
        <v>1512</v>
      </c>
      <c r="I13" s="19" t="s">
        <v>32</v>
      </c>
      <c r="J13" s="17">
        <v>263384.0</v>
      </c>
      <c r="K13" s="17">
        <v>23.54</v>
      </c>
      <c r="L13" s="17">
        <v>3242.0</v>
      </c>
      <c r="M13" s="17">
        <v>0.29</v>
      </c>
      <c r="N13" s="17">
        <v>67.37</v>
      </c>
    </row>
    <row r="14">
      <c r="A14" s="17">
        <v>11.0</v>
      </c>
      <c r="B14" s="19" t="s">
        <v>573</v>
      </c>
      <c r="C14" s="7"/>
      <c r="D14" s="19" t="s">
        <v>1513</v>
      </c>
      <c r="E14" s="19" t="s">
        <v>51</v>
      </c>
      <c r="F14" s="17">
        <v>376558.0</v>
      </c>
      <c r="G14" s="17">
        <v>32.85</v>
      </c>
      <c r="H14" s="19" t="s">
        <v>681</v>
      </c>
      <c r="I14" s="19" t="s">
        <v>32</v>
      </c>
      <c r="J14" s="17">
        <v>326902.0</v>
      </c>
      <c r="K14" s="17">
        <v>28.52</v>
      </c>
      <c r="L14" s="17">
        <v>49656.0</v>
      </c>
      <c r="M14" s="17">
        <v>4.33</v>
      </c>
      <c r="N14" s="17">
        <v>69.72</v>
      </c>
    </row>
    <row r="15">
      <c r="A15" s="17">
        <v>12.0</v>
      </c>
      <c r="B15" s="19" t="s">
        <v>545</v>
      </c>
      <c r="C15" s="7"/>
      <c r="D15" s="19" t="s">
        <v>1374</v>
      </c>
      <c r="E15" s="19" t="s">
        <v>32</v>
      </c>
      <c r="F15" s="17">
        <v>364085.0</v>
      </c>
      <c r="G15" s="17">
        <v>36.2</v>
      </c>
      <c r="H15" s="19" t="s">
        <v>412</v>
      </c>
      <c r="I15" s="19" t="s">
        <v>45</v>
      </c>
      <c r="J15" s="17">
        <v>191525.0</v>
      </c>
      <c r="K15" s="17">
        <v>19.04</v>
      </c>
      <c r="L15" s="17">
        <v>172560.0</v>
      </c>
      <c r="M15" s="17">
        <v>17.16</v>
      </c>
      <c r="N15" s="17">
        <v>64.86</v>
      </c>
    </row>
    <row r="16">
      <c r="A16" s="17">
        <v>13.0</v>
      </c>
      <c r="B16" s="19" t="s">
        <v>555</v>
      </c>
      <c r="C16" s="7"/>
      <c r="D16" s="19" t="s">
        <v>1514</v>
      </c>
      <c r="E16" s="19" t="s">
        <v>45</v>
      </c>
      <c r="F16" s="17">
        <v>305616.0</v>
      </c>
      <c r="G16" s="17">
        <v>26.69</v>
      </c>
      <c r="H16" s="19" t="s">
        <v>1515</v>
      </c>
      <c r="I16" s="19" t="s">
        <v>32</v>
      </c>
      <c r="J16" s="17">
        <v>290785.0</v>
      </c>
      <c r="K16" s="17">
        <v>25.39</v>
      </c>
      <c r="L16" s="17">
        <v>14831.0</v>
      </c>
      <c r="M16" s="17">
        <v>1.3</v>
      </c>
      <c r="N16" s="17">
        <v>63.76</v>
      </c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75"/>
    <col customWidth="1" min="8" max="8" width="21.63"/>
  </cols>
  <sheetData>
    <row r="1">
      <c r="A1" s="2" t="s">
        <v>1516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>
      <c r="A2" s="9" t="s">
        <v>1495</v>
      </c>
      <c r="B2" s="9" t="s">
        <v>1496</v>
      </c>
      <c r="C2" s="9" t="s">
        <v>310</v>
      </c>
      <c r="D2" s="9" t="s">
        <v>1184</v>
      </c>
      <c r="E2" s="9" t="s">
        <v>1185</v>
      </c>
      <c r="F2" s="9" t="s">
        <v>1186</v>
      </c>
      <c r="G2" s="9" t="s">
        <v>1497</v>
      </c>
      <c r="H2" s="9" t="s">
        <v>1188</v>
      </c>
      <c r="I2" s="9" t="s">
        <v>1189</v>
      </c>
      <c r="J2" s="9" t="s">
        <v>1190</v>
      </c>
      <c r="K2" s="9" t="s">
        <v>1498</v>
      </c>
      <c r="L2" s="9" t="s">
        <v>1192</v>
      </c>
      <c r="M2" s="9" t="s">
        <v>1193</v>
      </c>
      <c r="N2" s="9" t="s">
        <v>1194</v>
      </c>
    </row>
    <row r="3">
      <c r="A3" s="17">
        <v>1.0</v>
      </c>
      <c r="B3" s="19" t="s">
        <v>244</v>
      </c>
      <c r="C3" s="7"/>
      <c r="D3" s="19" t="s">
        <v>1517</v>
      </c>
      <c r="E3" s="19" t="s">
        <v>53</v>
      </c>
      <c r="F3" s="17">
        <v>558719.0</v>
      </c>
      <c r="G3" s="17">
        <v>51.06</v>
      </c>
      <c r="H3" s="19" t="s">
        <v>1443</v>
      </c>
      <c r="I3" s="19" t="s">
        <v>45</v>
      </c>
      <c r="J3" s="17">
        <v>476260.0</v>
      </c>
      <c r="K3" s="17">
        <v>43.52</v>
      </c>
      <c r="L3" s="17">
        <v>82459.0</v>
      </c>
      <c r="M3" s="17">
        <v>7.54</v>
      </c>
      <c r="N3" s="17">
        <v>71.87</v>
      </c>
    </row>
    <row r="4">
      <c r="A4" s="17">
        <v>2.0</v>
      </c>
      <c r="B4" s="19" t="s">
        <v>272</v>
      </c>
      <c r="C4" s="7"/>
      <c r="D4" s="19" t="s">
        <v>1500</v>
      </c>
      <c r="E4" s="19" t="s">
        <v>45</v>
      </c>
      <c r="F4" s="17">
        <v>445032.0</v>
      </c>
      <c r="G4" s="17">
        <v>52.31</v>
      </c>
      <c r="H4" s="19" t="s">
        <v>1518</v>
      </c>
      <c r="I4" s="19" t="s">
        <v>53</v>
      </c>
      <c r="J4" s="17">
        <v>345406.0</v>
      </c>
      <c r="K4" s="17">
        <v>40.6</v>
      </c>
      <c r="L4" s="17">
        <v>99626.0</v>
      </c>
      <c r="M4" s="17">
        <v>11.71</v>
      </c>
      <c r="N4" s="17">
        <v>58.51</v>
      </c>
    </row>
    <row r="5">
      <c r="A5" s="17">
        <v>3.0</v>
      </c>
      <c r="B5" s="19" t="s">
        <v>406</v>
      </c>
      <c r="C5" s="7"/>
      <c r="D5" s="19" t="s">
        <v>1519</v>
      </c>
      <c r="E5" s="19" t="s">
        <v>45</v>
      </c>
      <c r="F5" s="17">
        <v>459710.0</v>
      </c>
      <c r="G5" s="17">
        <v>44.16</v>
      </c>
      <c r="H5" s="19" t="s">
        <v>1226</v>
      </c>
      <c r="I5" s="19" t="s">
        <v>51</v>
      </c>
      <c r="J5" s="17">
        <v>319137.0</v>
      </c>
      <c r="K5" s="17">
        <v>30.66</v>
      </c>
      <c r="L5" s="17">
        <v>140573.0</v>
      </c>
      <c r="M5" s="17">
        <v>13.5</v>
      </c>
      <c r="N5" s="17">
        <v>65.41</v>
      </c>
    </row>
    <row r="6">
      <c r="A6" s="17">
        <v>4.0</v>
      </c>
      <c r="B6" s="19" t="s">
        <v>436</v>
      </c>
      <c r="C6" s="19" t="s">
        <v>1197</v>
      </c>
      <c r="D6" s="19" t="s">
        <v>1520</v>
      </c>
      <c r="E6" s="19" t="s">
        <v>45</v>
      </c>
      <c r="F6" s="17">
        <v>385712.0</v>
      </c>
      <c r="G6" s="17">
        <v>38.32</v>
      </c>
      <c r="H6" s="19" t="s">
        <v>1521</v>
      </c>
      <c r="I6" s="19" t="s">
        <v>51</v>
      </c>
      <c r="J6" s="17">
        <v>366221.0</v>
      </c>
      <c r="K6" s="17">
        <v>36.38</v>
      </c>
      <c r="L6" s="17">
        <v>19491.0</v>
      </c>
      <c r="M6" s="17">
        <v>1.94</v>
      </c>
      <c r="N6" s="17">
        <v>64.7</v>
      </c>
    </row>
    <row r="7">
      <c r="A7" s="17">
        <v>5.0</v>
      </c>
      <c r="B7" s="19" t="s">
        <v>459</v>
      </c>
      <c r="C7" s="19" t="s">
        <v>1197</v>
      </c>
      <c r="D7" s="19" t="s">
        <v>1329</v>
      </c>
      <c r="E7" s="19" t="s">
        <v>53</v>
      </c>
      <c r="F7" s="17">
        <v>421320.0</v>
      </c>
      <c r="G7" s="17">
        <v>43.08</v>
      </c>
      <c r="H7" s="19" t="s">
        <v>1503</v>
      </c>
      <c r="I7" s="19" t="s">
        <v>45</v>
      </c>
      <c r="J7" s="17">
        <v>372790.0</v>
      </c>
      <c r="K7" s="17">
        <v>38.12</v>
      </c>
      <c r="L7" s="17">
        <v>48530.0</v>
      </c>
      <c r="M7" s="17">
        <v>4.96</v>
      </c>
      <c r="N7" s="17">
        <v>63.97</v>
      </c>
    </row>
    <row r="8">
      <c r="A8" s="17">
        <v>6.0</v>
      </c>
      <c r="B8" s="19" t="s">
        <v>467</v>
      </c>
      <c r="C8" s="7"/>
      <c r="D8" s="19" t="s">
        <v>1522</v>
      </c>
      <c r="E8" s="19" t="s">
        <v>45</v>
      </c>
      <c r="F8" s="17">
        <v>428045.0</v>
      </c>
      <c r="G8" s="17">
        <v>40.21</v>
      </c>
      <c r="H8" s="19" t="s">
        <v>1523</v>
      </c>
      <c r="I8" s="19" t="s">
        <v>51</v>
      </c>
      <c r="J8" s="17">
        <v>381161.0</v>
      </c>
      <c r="K8" s="17">
        <v>35.81</v>
      </c>
      <c r="L8" s="17">
        <v>46884.0</v>
      </c>
      <c r="M8" s="17">
        <v>4.4</v>
      </c>
      <c r="N8" s="17">
        <v>65.61</v>
      </c>
    </row>
    <row r="9">
      <c r="A9" s="17">
        <v>7.0</v>
      </c>
      <c r="B9" s="19" t="s">
        <v>519</v>
      </c>
      <c r="C9" s="7"/>
      <c r="D9" s="19" t="s">
        <v>1506</v>
      </c>
      <c r="E9" s="19" t="s">
        <v>45</v>
      </c>
      <c r="F9" s="17">
        <v>383795.0</v>
      </c>
      <c r="G9" s="17">
        <v>37.03</v>
      </c>
      <c r="H9" s="19" t="s">
        <v>1415</v>
      </c>
      <c r="I9" s="19" t="s">
        <v>1413</v>
      </c>
      <c r="J9" s="17">
        <v>307423.0</v>
      </c>
      <c r="K9" s="17">
        <v>29.66</v>
      </c>
      <c r="L9" s="17">
        <v>76372.0</v>
      </c>
      <c r="M9" s="17">
        <v>7.37</v>
      </c>
      <c r="N9" s="17">
        <v>63.76</v>
      </c>
    </row>
    <row r="10">
      <c r="A10" s="17">
        <v>8.0</v>
      </c>
      <c r="B10" s="19" t="s">
        <v>475</v>
      </c>
      <c r="C10" s="19" t="s">
        <v>1197</v>
      </c>
      <c r="D10" s="19" t="s">
        <v>1426</v>
      </c>
      <c r="E10" s="19" t="s">
        <v>45</v>
      </c>
      <c r="F10" s="17">
        <v>411651.0</v>
      </c>
      <c r="G10" s="17">
        <v>42.31</v>
      </c>
      <c r="H10" s="19" t="s">
        <v>1524</v>
      </c>
      <c r="I10" s="19" t="s">
        <v>51</v>
      </c>
      <c r="J10" s="17">
        <v>317753.0</v>
      </c>
      <c r="K10" s="17">
        <v>32.66</v>
      </c>
      <c r="L10" s="17">
        <v>93898.0</v>
      </c>
      <c r="M10" s="17">
        <v>9.65</v>
      </c>
      <c r="N10" s="17">
        <v>67.07</v>
      </c>
    </row>
    <row r="11">
      <c r="A11" s="17">
        <v>9.0</v>
      </c>
      <c r="B11" s="19" t="s">
        <v>517</v>
      </c>
      <c r="C11" s="19" t="s">
        <v>1197</v>
      </c>
      <c r="D11" s="19" t="s">
        <v>1454</v>
      </c>
      <c r="E11" s="19" t="s">
        <v>45</v>
      </c>
      <c r="F11" s="17">
        <v>419065.0</v>
      </c>
      <c r="G11" s="17">
        <v>43.85</v>
      </c>
      <c r="H11" s="19" t="s">
        <v>1219</v>
      </c>
      <c r="I11" s="19" t="s">
        <v>51</v>
      </c>
      <c r="J11" s="17">
        <v>335809.0</v>
      </c>
      <c r="K11" s="17">
        <v>35.14</v>
      </c>
      <c r="L11" s="17">
        <v>83256.0</v>
      </c>
      <c r="M11" s="17">
        <v>8.71</v>
      </c>
      <c r="N11" s="17">
        <v>64.35</v>
      </c>
    </row>
    <row r="12">
      <c r="A12" s="17">
        <v>10.0</v>
      </c>
      <c r="B12" s="19" t="s">
        <v>1510</v>
      </c>
      <c r="C12" s="7"/>
      <c r="D12" s="19" t="s">
        <v>1320</v>
      </c>
      <c r="E12" s="19" t="s">
        <v>51</v>
      </c>
      <c r="F12" s="17">
        <v>633427.0</v>
      </c>
      <c r="G12" s="17">
        <v>54.74</v>
      </c>
      <c r="H12" s="19" t="s">
        <v>1511</v>
      </c>
      <c r="I12" s="19" t="s">
        <v>45</v>
      </c>
      <c r="J12" s="17">
        <v>434577.0</v>
      </c>
      <c r="K12" s="17">
        <v>37.56</v>
      </c>
      <c r="L12" s="17">
        <v>198850.0</v>
      </c>
      <c r="M12" s="17">
        <v>17.18</v>
      </c>
      <c r="N12" s="17">
        <v>73.84</v>
      </c>
    </row>
    <row r="13">
      <c r="A13" s="17">
        <v>11.0</v>
      </c>
      <c r="B13" s="19" t="s">
        <v>573</v>
      </c>
      <c r="C13" s="7"/>
      <c r="D13" s="19" t="s">
        <v>1513</v>
      </c>
      <c r="E13" s="19" t="s">
        <v>51</v>
      </c>
      <c r="F13" s="17">
        <v>492824.0</v>
      </c>
      <c r="G13" s="17">
        <v>41.5</v>
      </c>
      <c r="H13" s="19" t="s">
        <v>1331</v>
      </c>
      <c r="I13" s="19" t="s">
        <v>45</v>
      </c>
      <c r="J13" s="17">
        <v>471052.0</v>
      </c>
      <c r="K13" s="17">
        <v>39.67</v>
      </c>
      <c r="L13" s="17">
        <v>21772.0</v>
      </c>
      <c r="M13" s="17">
        <v>1.83</v>
      </c>
      <c r="N13" s="17">
        <v>75.53</v>
      </c>
    </row>
    <row r="14">
      <c r="A14" s="17">
        <v>12.0</v>
      </c>
      <c r="B14" s="19" t="s">
        <v>545</v>
      </c>
      <c r="C14" s="7"/>
      <c r="D14" s="19" t="s">
        <v>1287</v>
      </c>
      <c r="E14" s="19" t="s">
        <v>32</v>
      </c>
      <c r="F14" s="17">
        <v>413561.0</v>
      </c>
      <c r="G14" s="17">
        <v>37.62</v>
      </c>
      <c r="H14" s="19" t="s">
        <v>1473</v>
      </c>
      <c r="I14" s="19" t="s">
        <v>45</v>
      </c>
      <c r="J14" s="17">
        <v>303350.0</v>
      </c>
      <c r="K14" s="17">
        <v>27.6</v>
      </c>
      <c r="L14" s="17">
        <v>110211.0</v>
      </c>
      <c r="M14" s="17">
        <v>10.02</v>
      </c>
      <c r="N14" s="17">
        <v>73.63</v>
      </c>
    </row>
    <row r="15">
      <c r="A15" s="17">
        <v>13.0</v>
      </c>
      <c r="B15" s="19" t="s">
        <v>555</v>
      </c>
      <c r="C15" s="7"/>
      <c r="D15" s="19" t="s">
        <v>1525</v>
      </c>
      <c r="E15" s="19" t="s">
        <v>45</v>
      </c>
      <c r="F15" s="17">
        <v>532027.0</v>
      </c>
      <c r="G15" s="17">
        <v>45.6</v>
      </c>
      <c r="H15" s="19" t="s">
        <v>1409</v>
      </c>
      <c r="I15" s="19" t="s">
        <v>51</v>
      </c>
      <c r="J15" s="17">
        <v>369309.0</v>
      </c>
      <c r="K15" s="17">
        <v>31.65</v>
      </c>
      <c r="L15" s="17">
        <v>162718.0</v>
      </c>
      <c r="M15" s="17">
        <v>13.95</v>
      </c>
      <c r="N15" s="17">
        <v>69.64</v>
      </c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</row>
    <row r="2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5" max="5" width="24.63"/>
    <col customWidth="1" min="9" max="9" width="25.13"/>
    <col customWidth="1" min="16" max="16" width="32.13"/>
  </cols>
  <sheetData>
    <row r="1">
      <c r="A1" s="2" t="s">
        <v>1526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24"/>
      <c r="R1" s="24"/>
      <c r="S1" s="24"/>
      <c r="T1" s="24"/>
      <c r="U1" s="24"/>
      <c r="V1" s="24"/>
      <c r="W1" s="24"/>
      <c r="X1" s="24"/>
    </row>
    <row r="2">
      <c r="A2" s="9" t="s">
        <v>1182</v>
      </c>
      <c r="B2" s="9" t="s">
        <v>1183</v>
      </c>
      <c r="C2" s="9" t="s">
        <v>36</v>
      </c>
      <c r="D2" s="9" t="s">
        <v>9</v>
      </c>
      <c r="E2" s="9" t="s">
        <v>1527</v>
      </c>
      <c r="F2" s="9" t="s">
        <v>1528</v>
      </c>
      <c r="G2" s="9" t="s">
        <v>1529</v>
      </c>
      <c r="H2" s="9" t="s">
        <v>1530</v>
      </c>
      <c r="I2" s="9" t="s">
        <v>439</v>
      </c>
      <c r="J2" s="9" t="s">
        <v>1531</v>
      </c>
      <c r="K2" s="9" t="s">
        <v>1532</v>
      </c>
      <c r="L2" s="9" t="s">
        <v>1533</v>
      </c>
      <c r="M2" s="141" t="s">
        <v>1534</v>
      </c>
      <c r="N2" s="141" t="s">
        <v>1535</v>
      </c>
      <c r="O2" s="141" t="s">
        <v>1536</v>
      </c>
      <c r="P2" s="142" t="s">
        <v>1537</v>
      </c>
      <c r="Q2" s="24"/>
      <c r="R2" s="24"/>
      <c r="S2" s="24"/>
      <c r="T2" s="24"/>
      <c r="U2" s="24"/>
      <c r="V2" s="24"/>
      <c r="W2" s="24"/>
      <c r="X2" s="24"/>
    </row>
    <row r="3">
      <c r="A3" s="17">
        <v>1.0</v>
      </c>
      <c r="B3" s="19" t="s">
        <v>59</v>
      </c>
      <c r="C3" s="19" t="s">
        <v>60</v>
      </c>
      <c r="D3" s="19" t="s">
        <v>61</v>
      </c>
      <c r="E3" s="19" t="s">
        <v>1260</v>
      </c>
      <c r="F3" s="19" t="s">
        <v>53</v>
      </c>
      <c r="G3" s="19" t="s">
        <v>53</v>
      </c>
      <c r="H3" s="17">
        <v>34034.0</v>
      </c>
      <c r="I3" s="19" t="s">
        <v>63</v>
      </c>
      <c r="J3" s="19" t="s">
        <v>45</v>
      </c>
      <c r="K3" s="19" t="s">
        <v>53</v>
      </c>
      <c r="L3" s="17">
        <v>26781.0</v>
      </c>
      <c r="M3" s="19" t="str">
        <f t="shared" ref="M3:M119" si="1">IF(TRIM(F3)=TRIM(G3), "Same", TRIM(F3) &amp; " → " &amp; TRIM(G3))</f>
        <v>Same</v>
      </c>
      <c r="N3" s="19" t="str">
        <f t="shared" ref="N3:N119" si="2">IF(TRIM(G3)=TRIM(J3), "Same", TRIM(G3) &amp; " → " &amp; TRIM(J3))</f>
        <v>BJP → INC</v>
      </c>
      <c r="O3" s="22" t="str">
        <f t="shared" ref="O3:O119" si="3">IF(TRIM(J3)=TRIM(K3), "Same", TRIM(J3) &amp; " → " &amp; TRIM(K3))</f>
        <v>INC → BJP</v>
      </c>
      <c r="P3" s="24" t="str">
        <f t="shared" ref="P3:P119" si="4">TEXTJOIN(" → ", TRUE, TRIM(F3), TRIM(G3), TRIM(J3), TRIM(K3))</f>
        <v>BJP → BJP → INC → BJP</v>
      </c>
      <c r="Q3" s="24"/>
      <c r="R3" s="24"/>
      <c r="S3" s="24"/>
      <c r="T3" s="24"/>
      <c r="U3" s="24"/>
      <c r="V3" s="24"/>
      <c r="W3" s="24"/>
      <c r="X3" s="24"/>
    </row>
    <row r="4">
      <c r="A4" s="17">
        <v>2.0</v>
      </c>
      <c r="B4" s="19" t="s">
        <v>216</v>
      </c>
      <c r="C4" s="19" t="s">
        <v>60</v>
      </c>
      <c r="D4" s="19" t="s">
        <v>61</v>
      </c>
      <c r="E4" s="19" t="s">
        <v>1198</v>
      </c>
      <c r="F4" s="19" t="s">
        <v>45</v>
      </c>
      <c r="G4" s="19" t="s">
        <v>53</v>
      </c>
      <c r="H4" s="17">
        <v>29423.0</v>
      </c>
      <c r="I4" s="19" t="s">
        <v>217</v>
      </c>
      <c r="J4" s="19" t="s">
        <v>32</v>
      </c>
      <c r="K4" s="19" t="s">
        <v>53</v>
      </c>
      <c r="L4" s="17">
        <v>12816.0</v>
      </c>
      <c r="M4" s="19" t="str">
        <f t="shared" si="1"/>
        <v>INC → BJP</v>
      </c>
      <c r="N4" s="19" t="str">
        <f t="shared" si="2"/>
        <v>BJP → AAP</v>
      </c>
      <c r="O4" s="22" t="str">
        <f t="shared" si="3"/>
        <v>AAP → BJP</v>
      </c>
      <c r="P4" s="24" t="str">
        <f t="shared" si="4"/>
        <v>INC → BJP → AAP → BJP</v>
      </c>
      <c r="Q4" s="24"/>
      <c r="R4" s="24"/>
      <c r="S4" s="24"/>
      <c r="T4" s="24"/>
      <c r="U4" s="24"/>
      <c r="V4" s="24"/>
      <c r="W4" s="24"/>
      <c r="X4" s="24"/>
    </row>
    <row r="5">
      <c r="A5" s="17">
        <v>3.0</v>
      </c>
      <c r="B5" s="19" t="s">
        <v>60</v>
      </c>
      <c r="C5" s="19" t="s">
        <v>60</v>
      </c>
      <c r="D5" s="19" t="s">
        <v>61</v>
      </c>
      <c r="E5" s="19" t="s">
        <v>1265</v>
      </c>
      <c r="F5" s="19" t="s">
        <v>45</v>
      </c>
      <c r="G5" s="19" t="s">
        <v>53</v>
      </c>
      <c r="H5" s="17">
        <v>29381.0</v>
      </c>
      <c r="I5" s="19" t="s">
        <v>225</v>
      </c>
      <c r="J5" s="19" t="s">
        <v>53</v>
      </c>
      <c r="K5" s="19" t="s">
        <v>53</v>
      </c>
      <c r="L5" s="17">
        <v>21454.0</v>
      </c>
      <c r="M5" s="19" t="str">
        <f t="shared" si="1"/>
        <v>INC → BJP</v>
      </c>
      <c r="N5" s="19" t="str">
        <f t="shared" si="2"/>
        <v>Same</v>
      </c>
      <c r="O5" s="22" t="str">
        <f t="shared" si="3"/>
        <v>Same</v>
      </c>
      <c r="P5" s="24" t="str">
        <f t="shared" si="4"/>
        <v>INC → BJP → BJP → BJP</v>
      </c>
      <c r="Q5" s="24"/>
      <c r="R5" s="24"/>
      <c r="S5" s="24"/>
      <c r="T5" s="24"/>
      <c r="U5" s="24"/>
      <c r="V5" s="24"/>
      <c r="W5" s="24"/>
      <c r="X5" s="24"/>
    </row>
    <row r="6">
      <c r="A6" s="17">
        <v>4.0</v>
      </c>
      <c r="B6" s="19" t="s">
        <v>244</v>
      </c>
      <c r="C6" s="19" t="s">
        <v>244</v>
      </c>
      <c r="D6" s="19" t="s">
        <v>61</v>
      </c>
      <c r="E6" s="19" t="s">
        <v>245</v>
      </c>
      <c r="F6" s="19" t="s">
        <v>45</v>
      </c>
      <c r="G6" s="19" t="s">
        <v>53</v>
      </c>
      <c r="H6" s="17">
        <v>1149.0</v>
      </c>
      <c r="I6" s="19" t="s">
        <v>245</v>
      </c>
      <c r="J6" s="19" t="s">
        <v>45</v>
      </c>
      <c r="K6" s="19" t="s">
        <v>45</v>
      </c>
      <c r="L6" s="17">
        <v>2753.0</v>
      </c>
      <c r="M6" s="19" t="str">
        <f t="shared" si="1"/>
        <v>INC → BJP</v>
      </c>
      <c r="N6" s="19" t="str">
        <f t="shared" si="2"/>
        <v>BJP → INC</v>
      </c>
      <c r="O6" s="22" t="str">
        <f t="shared" si="3"/>
        <v>Same</v>
      </c>
      <c r="P6" s="24" t="str">
        <f t="shared" si="4"/>
        <v>INC → BJP → INC → INC</v>
      </c>
      <c r="Q6" s="24"/>
      <c r="R6" s="24"/>
      <c r="S6" s="24"/>
      <c r="T6" s="24"/>
      <c r="U6" s="24"/>
      <c r="V6" s="24"/>
      <c r="W6" s="24"/>
      <c r="X6" s="24"/>
    </row>
    <row r="7">
      <c r="A7" s="17">
        <v>5.0</v>
      </c>
      <c r="B7" s="19" t="s">
        <v>249</v>
      </c>
      <c r="C7" s="19" t="s">
        <v>244</v>
      </c>
      <c r="D7" s="19" t="s">
        <v>61</v>
      </c>
      <c r="E7" s="19" t="s">
        <v>250</v>
      </c>
      <c r="F7" s="19" t="s">
        <v>45</v>
      </c>
      <c r="G7" s="19" t="s">
        <v>53</v>
      </c>
      <c r="H7" s="17">
        <v>20522.0</v>
      </c>
      <c r="I7" s="19" t="s">
        <v>250</v>
      </c>
      <c r="J7" s="19" t="s">
        <v>45</v>
      </c>
      <c r="K7" s="19" t="s">
        <v>45</v>
      </c>
      <c r="L7" s="17">
        <v>8459.0</v>
      </c>
      <c r="M7" s="19" t="str">
        <f t="shared" si="1"/>
        <v>INC → BJP</v>
      </c>
      <c r="N7" s="19" t="str">
        <f t="shared" si="2"/>
        <v>BJP → INC</v>
      </c>
      <c r="O7" s="22" t="str">
        <f t="shared" si="3"/>
        <v>Same</v>
      </c>
      <c r="P7" s="24" t="str">
        <f t="shared" si="4"/>
        <v>INC → BJP → INC → INC</v>
      </c>
      <c r="Q7" s="24"/>
      <c r="R7" s="24"/>
      <c r="S7" s="24"/>
      <c r="T7" s="24"/>
      <c r="U7" s="24"/>
      <c r="V7" s="24"/>
      <c r="W7" s="24"/>
      <c r="X7" s="24"/>
    </row>
    <row r="8">
      <c r="A8" s="17">
        <v>6.0</v>
      </c>
      <c r="B8" s="19" t="s">
        <v>253</v>
      </c>
      <c r="C8" s="19" t="s">
        <v>244</v>
      </c>
      <c r="D8" s="19" t="s">
        <v>61</v>
      </c>
      <c r="E8" s="19" t="s">
        <v>1272</v>
      </c>
      <c r="F8" s="19" t="s">
        <v>45</v>
      </c>
      <c r="G8" s="19" t="s">
        <v>53</v>
      </c>
      <c r="H8" s="17">
        <v>1183.0</v>
      </c>
      <c r="I8" s="19" t="s">
        <v>254</v>
      </c>
      <c r="J8" s="19" t="s">
        <v>45</v>
      </c>
      <c r="K8" s="19" t="s">
        <v>45</v>
      </c>
      <c r="L8" s="17">
        <v>3152.0</v>
      </c>
      <c r="M8" s="19" t="str">
        <f t="shared" si="1"/>
        <v>INC → BJP</v>
      </c>
      <c r="N8" s="19" t="str">
        <f t="shared" si="2"/>
        <v>BJP → INC</v>
      </c>
      <c r="O8" s="22" t="str">
        <f t="shared" si="3"/>
        <v>Same</v>
      </c>
      <c r="P8" s="24" t="str">
        <f t="shared" si="4"/>
        <v>INC → BJP → INC → INC</v>
      </c>
      <c r="Q8" s="24"/>
      <c r="R8" s="24"/>
      <c r="S8" s="24"/>
      <c r="T8" s="24"/>
      <c r="U8" s="24"/>
      <c r="V8" s="24"/>
      <c r="W8" s="24"/>
      <c r="X8" s="24"/>
    </row>
    <row r="9">
      <c r="A9" s="17">
        <v>7.0</v>
      </c>
      <c r="B9" s="19" t="s">
        <v>256</v>
      </c>
      <c r="C9" s="19" t="s">
        <v>244</v>
      </c>
      <c r="D9" s="19" t="s">
        <v>61</v>
      </c>
      <c r="E9" s="19" t="s">
        <v>1206</v>
      </c>
      <c r="F9" s="19" t="s">
        <v>51</v>
      </c>
      <c r="G9" s="19" t="s">
        <v>53</v>
      </c>
      <c r="H9" s="17">
        <v>956.0</v>
      </c>
      <c r="I9" s="19" t="s">
        <v>258</v>
      </c>
      <c r="J9" s="19" t="s">
        <v>32</v>
      </c>
      <c r="K9" s="19" t="s">
        <v>45</v>
      </c>
      <c r="L9" s="17">
        <v>935.0</v>
      </c>
      <c r="M9" s="19" t="str">
        <f t="shared" si="1"/>
        <v>SAD → BJP</v>
      </c>
      <c r="N9" s="19" t="str">
        <f t="shared" si="2"/>
        <v>BJP → AAP</v>
      </c>
      <c r="O9" s="22" t="str">
        <f t="shared" si="3"/>
        <v>AAP → INC</v>
      </c>
      <c r="P9" s="24" t="str">
        <f t="shared" si="4"/>
        <v>SAD → BJP → AAP → INC</v>
      </c>
      <c r="Q9" s="24"/>
      <c r="R9" s="24"/>
      <c r="S9" s="24"/>
      <c r="T9" s="24"/>
      <c r="U9" s="24"/>
      <c r="V9" s="24"/>
      <c r="W9" s="24"/>
      <c r="X9" s="24"/>
    </row>
    <row r="10">
      <c r="A10" s="17">
        <v>8.0</v>
      </c>
      <c r="B10" s="19" t="s">
        <v>260</v>
      </c>
      <c r="C10" s="19" t="s">
        <v>244</v>
      </c>
      <c r="D10" s="19" t="s">
        <v>61</v>
      </c>
      <c r="E10" s="19" t="s">
        <v>1277</v>
      </c>
      <c r="F10" s="19" t="s">
        <v>45</v>
      </c>
      <c r="G10" s="19" t="s">
        <v>45</v>
      </c>
      <c r="H10" s="17">
        <v>15302.0</v>
      </c>
      <c r="I10" s="19" t="s">
        <v>261</v>
      </c>
      <c r="J10" s="19" t="s">
        <v>32</v>
      </c>
      <c r="K10" s="19" t="s">
        <v>45</v>
      </c>
      <c r="L10" s="17">
        <v>6303.0</v>
      </c>
      <c r="M10" s="19" t="str">
        <f t="shared" si="1"/>
        <v>Same</v>
      </c>
      <c r="N10" s="19" t="str">
        <f t="shared" si="2"/>
        <v>INC → AAP</v>
      </c>
      <c r="O10" s="22" t="str">
        <f t="shared" si="3"/>
        <v>AAP → INC</v>
      </c>
      <c r="P10" s="24" t="str">
        <f t="shared" si="4"/>
        <v>INC → INC → AAP → INC</v>
      </c>
      <c r="Q10" s="24"/>
      <c r="R10" s="24"/>
      <c r="S10" s="24"/>
      <c r="T10" s="24"/>
      <c r="U10" s="24"/>
      <c r="V10" s="24"/>
      <c r="W10" s="24"/>
      <c r="X10" s="24"/>
    </row>
    <row r="11">
      <c r="A11" s="17">
        <v>9.0</v>
      </c>
      <c r="B11" s="19" t="s">
        <v>263</v>
      </c>
      <c r="C11" s="19" t="s">
        <v>244</v>
      </c>
      <c r="D11" s="19" t="s">
        <v>61</v>
      </c>
      <c r="E11" s="19" t="s">
        <v>264</v>
      </c>
      <c r="F11" s="19" t="s">
        <v>45</v>
      </c>
      <c r="G11" s="19" t="s">
        <v>45</v>
      </c>
      <c r="H11" s="17">
        <v>20859.0</v>
      </c>
      <c r="I11" s="19" t="s">
        <v>264</v>
      </c>
      <c r="J11" s="19" t="s">
        <v>45</v>
      </c>
      <c r="K11" s="19" t="s">
        <v>45</v>
      </c>
      <c r="L11" s="17">
        <v>2872.0</v>
      </c>
      <c r="M11" s="19" t="str">
        <f t="shared" si="1"/>
        <v>Same</v>
      </c>
      <c r="N11" s="19" t="str">
        <f t="shared" si="2"/>
        <v>Same</v>
      </c>
      <c r="O11" s="22" t="str">
        <f t="shared" si="3"/>
        <v>Same</v>
      </c>
      <c r="P11" s="24" t="str">
        <f t="shared" si="4"/>
        <v>INC → INC → INC → INC</v>
      </c>
      <c r="Q11" s="24"/>
      <c r="R11" s="24"/>
      <c r="S11" s="24"/>
      <c r="T11" s="24"/>
      <c r="U11" s="24"/>
      <c r="V11" s="24"/>
      <c r="W11" s="24"/>
      <c r="X11" s="24"/>
    </row>
    <row r="12">
      <c r="A12" s="17">
        <v>10.0</v>
      </c>
      <c r="B12" s="19" t="s">
        <v>252</v>
      </c>
      <c r="C12" s="19" t="s">
        <v>244</v>
      </c>
      <c r="D12" s="19" t="s">
        <v>61</v>
      </c>
      <c r="E12" s="19" t="s">
        <v>1207</v>
      </c>
      <c r="F12" s="19" t="s">
        <v>45</v>
      </c>
      <c r="G12" s="19" t="s">
        <v>45</v>
      </c>
      <c r="H12" s="17">
        <v>18780.0</v>
      </c>
      <c r="I12" s="19" t="s">
        <v>1207</v>
      </c>
      <c r="J12" s="19" t="s">
        <v>45</v>
      </c>
      <c r="K12" s="19" t="s">
        <v>45</v>
      </c>
      <c r="L12" s="17">
        <v>3940.0</v>
      </c>
      <c r="M12" s="19" t="str">
        <f t="shared" si="1"/>
        <v>Same</v>
      </c>
      <c r="N12" s="19" t="str">
        <f t="shared" si="2"/>
        <v>Same</v>
      </c>
      <c r="O12" s="22" t="str">
        <f t="shared" si="3"/>
        <v>Same</v>
      </c>
      <c r="P12" s="24" t="str">
        <f t="shared" si="4"/>
        <v>INC → INC → INC → INC</v>
      </c>
      <c r="Q12" s="24"/>
      <c r="R12" s="24"/>
      <c r="S12" s="24"/>
      <c r="T12" s="24"/>
      <c r="U12" s="24"/>
      <c r="V12" s="24"/>
      <c r="W12" s="24"/>
      <c r="X12" s="24"/>
    </row>
    <row r="13">
      <c r="A13" s="17">
        <v>11.0</v>
      </c>
      <c r="B13" s="19" t="s">
        <v>271</v>
      </c>
      <c r="C13" s="19" t="s">
        <v>272</v>
      </c>
      <c r="D13" s="19" t="s">
        <v>61</v>
      </c>
      <c r="E13" s="19" t="s">
        <v>1285</v>
      </c>
      <c r="F13" s="19" t="s">
        <v>45</v>
      </c>
      <c r="G13" s="19" t="s">
        <v>45</v>
      </c>
      <c r="H13" s="17">
        <v>29235.0</v>
      </c>
      <c r="I13" s="19" t="s">
        <v>273</v>
      </c>
      <c r="J13" s="19" t="s">
        <v>32</v>
      </c>
      <c r="K13" s="19" t="s">
        <v>32</v>
      </c>
      <c r="L13" s="17">
        <v>5035.0</v>
      </c>
      <c r="M13" s="19" t="str">
        <f t="shared" si="1"/>
        <v>Same</v>
      </c>
      <c r="N13" s="19" t="str">
        <f t="shared" si="2"/>
        <v>INC → AAP</v>
      </c>
      <c r="O13" s="22" t="str">
        <f t="shared" si="3"/>
        <v>Same</v>
      </c>
      <c r="P13" s="24" t="str">
        <f t="shared" si="4"/>
        <v>INC → INC → AAP → AAP</v>
      </c>
      <c r="Q13" s="24"/>
      <c r="R13" s="24"/>
      <c r="S13" s="24"/>
      <c r="T13" s="24"/>
      <c r="U13" s="24"/>
      <c r="V13" s="24"/>
      <c r="W13" s="24"/>
      <c r="X13" s="24"/>
    </row>
    <row r="14">
      <c r="A14" s="17">
        <v>12.0</v>
      </c>
      <c r="B14" s="19" t="s">
        <v>276</v>
      </c>
      <c r="C14" s="19" t="s">
        <v>272</v>
      </c>
      <c r="D14" s="19" t="s">
        <v>61</v>
      </c>
      <c r="E14" s="19" t="s">
        <v>277</v>
      </c>
      <c r="F14" s="19" t="s">
        <v>45</v>
      </c>
      <c r="G14" s="19" t="s">
        <v>45</v>
      </c>
      <c r="H14" s="17">
        <v>24548.0</v>
      </c>
      <c r="I14" s="19" t="s">
        <v>277</v>
      </c>
      <c r="J14" s="19" t="s">
        <v>45</v>
      </c>
      <c r="K14" s="19" t="s">
        <v>45</v>
      </c>
      <c r="L14" s="17">
        <v>4543.0</v>
      </c>
      <c r="M14" s="19" t="str">
        <f t="shared" si="1"/>
        <v>Same</v>
      </c>
      <c r="N14" s="19" t="str">
        <f t="shared" si="2"/>
        <v>Same</v>
      </c>
      <c r="O14" s="22" t="str">
        <f t="shared" si="3"/>
        <v>Same</v>
      </c>
      <c r="P14" s="24" t="str">
        <f t="shared" si="4"/>
        <v>INC → INC → INC → INC</v>
      </c>
      <c r="Q14" s="24"/>
      <c r="R14" s="24"/>
      <c r="S14" s="24"/>
      <c r="T14" s="24"/>
      <c r="U14" s="24"/>
      <c r="V14" s="24"/>
      <c r="W14" s="24"/>
      <c r="X14" s="24"/>
    </row>
    <row r="15">
      <c r="A15" s="17">
        <v>13.0</v>
      </c>
      <c r="B15" s="19" t="s">
        <v>279</v>
      </c>
      <c r="C15" s="19" t="s">
        <v>272</v>
      </c>
      <c r="D15" s="19" t="s">
        <v>61</v>
      </c>
      <c r="E15" s="19" t="s">
        <v>1290</v>
      </c>
      <c r="F15" s="19" t="s">
        <v>51</v>
      </c>
      <c r="G15" s="19" t="s">
        <v>53</v>
      </c>
      <c r="H15" s="17">
        <v>9933.0</v>
      </c>
      <c r="I15" s="19" t="s">
        <v>280</v>
      </c>
      <c r="J15" s="19" t="s">
        <v>51</v>
      </c>
      <c r="K15" s="19" t="s">
        <v>51</v>
      </c>
      <c r="L15" s="17">
        <v>12451.0</v>
      </c>
      <c r="M15" s="19" t="str">
        <f t="shared" si="1"/>
        <v>SAD → BJP</v>
      </c>
      <c r="N15" s="19" t="str">
        <f t="shared" si="2"/>
        <v>BJP → SAD</v>
      </c>
      <c r="O15" s="22" t="str">
        <f t="shared" si="3"/>
        <v>Same</v>
      </c>
      <c r="P15" s="24" t="str">
        <f t="shared" si="4"/>
        <v>SAD → BJP → SAD → SAD</v>
      </c>
      <c r="Q15" s="24"/>
      <c r="R15" s="24"/>
      <c r="S15" s="24"/>
      <c r="T15" s="24"/>
      <c r="U15" s="24"/>
      <c r="V15" s="24"/>
      <c r="W15" s="24"/>
      <c r="X15" s="24"/>
    </row>
    <row r="16">
      <c r="A16" s="17">
        <v>14.0</v>
      </c>
      <c r="B16" s="19" t="s">
        <v>282</v>
      </c>
      <c r="C16" s="19" t="s">
        <v>272</v>
      </c>
      <c r="D16" s="19" t="s">
        <v>61</v>
      </c>
      <c r="E16" s="19" t="s">
        <v>1292</v>
      </c>
      <c r="F16" s="19" t="s">
        <v>45</v>
      </c>
      <c r="G16" s="19" t="s">
        <v>45</v>
      </c>
      <c r="H16" s="17">
        <v>22044.0</v>
      </c>
      <c r="I16" s="19" t="s">
        <v>285</v>
      </c>
      <c r="J16" s="19" t="s">
        <v>32</v>
      </c>
      <c r="K16" s="19" t="s">
        <v>1228</v>
      </c>
      <c r="L16" s="17">
        <v>21619.0</v>
      </c>
      <c r="M16" s="19" t="str">
        <f t="shared" si="1"/>
        <v>Same</v>
      </c>
      <c r="N16" s="19" t="str">
        <f t="shared" si="2"/>
        <v>INC → AAP</v>
      </c>
      <c r="O16" s="22" t="str">
        <f t="shared" si="3"/>
        <v>AAP → IND</v>
      </c>
      <c r="P16" s="24" t="str">
        <f t="shared" si="4"/>
        <v>INC → INC → AAP → IND</v>
      </c>
      <c r="Q16" s="24"/>
      <c r="R16" s="24"/>
      <c r="S16" s="24"/>
      <c r="T16" s="24"/>
      <c r="U16" s="24"/>
      <c r="V16" s="24"/>
      <c r="W16" s="24"/>
      <c r="X16" s="24"/>
    </row>
    <row r="17">
      <c r="A17" s="17">
        <v>15.0</v>
      </c>
      <c r="B17" s="19" t="s">
        <v>300</v>
      </c>
      <c r="C17" s="19" t="s">
        <v>272</v>
      </c>
      <c r="D17" s="19" t="s">
        <v>61</v>
      </c>
      <c r="E17" s="19" t="s">
        <v>1296</v>
      </c>
      <c r="F17" s="19" t="s">
        <v>45</v>
      </c>
      <c r="G17" s="19" t="s">
        <v>45</v>
      </c>
      <c r="H17" s="17">
        <v>1368.0</v>
      </c>
      <c r="I17" s="19" t="s">
        <v>301</v>
      </c>
      <c r="J17" s="19" t="s">
        <v>32</v>
      </c>
      <c r="K17" s="19" t="s">
        <v>53</v>
      </c>
      <c r="L17" s="17">
        <v>18684.0</v>
      </c>
      <c r="M17" s="19" t="str">
        <f t="shared" si="1"/>
        <v>Same</v>
      </c>
      <c r="N17" s="19" t="str">
        <f t="shared" si="2"/>
        <v>INC → AAP</v>
      </c>
      <c r="O17" s="22" t="str">
        <f t="shared" si="3"/>
        <v>AAP → BJP</v>
      </c>
      <c r="P17" s="24" t="str">
        <f t="shared" si="4"/>
        <v>INC → INC → AAP → BJP</v>
      </c>
      <c r="Q17" s="24"/>
      <c r="R17" s="24"/>
      <c r="S17" s="24"/>
      <c r="T17" s="24"/>
      <c r="U17" s="24"/>
      <c r="V17" s="24"/>
      <c r="W17" s="24"/>
      <c r="X17" s="24"/>
    </row>
    <row r="18">
      <c r="A18" s="17">
        <v>16.0</v>
      </c>
      <c r="B18" s="19" t="s">
        <v>314</v>
      </c>
      <c r="C18" s="19" t="s">
        <v>272</v>
      </c>
      <c r="D18" s="19" t="s">
        <v>61</v>
      </c>
      <c r="E18" s="19" t="s">
        <v>1215</v>
      </c>
      <c r="F18" s="19" t="s">
        <v>45</v>
      </c>
      <c r="G18" s="19" t="s">
        <v>45</v>
      </c>
      <c r="H18" s="17">
        <v>15889.0</v>
      </c>
      <c r="I18" s="19" t="s">
        <v>315</v>
      </c>
      <c r="J18" s="19" t="s">
        <v>32</v>
      </c>
      <c r="K18" s="19" t="s">
        <v>45</v>
      </c>
      <c r="L18" s="17">
        <v>4075.0</v>
      </c>
      <c r="M18" s="19" t="str">
        <f t="shared" si="1"/>
        <v>Same</v>
      </c>
      <c r="N18" s="19" t="str">
        <f t="shared" si="2"/>
        <v>INC → AAP</v>
      </c>
      <c r="O18" s="22" t="str">
        <f t="shared" si="3"/>
        <v>AAP → INC</v>
      </c>
      <c r="P18" s="24" t="str">
        <f t="shared" si="4"/>
        <v>INC → INC → AAP → INC</v>
      </c>
      <c r="Q18" s="24"/>
      <c r="R18" s="24"/>
      <c r="S18" s="24"/>
      <c r="T18" s="24"/>
      <c r="U18" s="24"/>
      <c r="V18" s="24"/>
      <c r="W18" s="24"/>
      <c r="X18" s="24"/>
    </row>
    <row r="19">
      <c r="A19" s="17">
        <v>17.0</v>
      </c>
      <c r="B19" s="19" t="s">
        <v>332</v>
      </c>
      <c r="C19" s="19" t="s">
        <v>272</v>
      </c>
      <c r="D19" s="19" t="s">
        <v>61</v>
      </c>
      <c r="E19" s="19" t="s">
        <v>1216</v>
      </c>
      <c r="F19" s="19" t="s">
        <v>45</v>
      </c>
      <c r="G19" s="19" t="s">
        <v>45</v>
      </c>
      <c r="H19" s="17">
        <v>5428.0</v>
      </c>
      <c r="I19" s="19" t="s">
        <v>334</v>
      </c>
      <c r="J19" s="19" t="s">
        <v>32</v>
      </c>
      <c r="K19" s="19" t="s">
        <v>53</v>
      </c>
      <c r="L19" s="17">
        <v>10694.0</v>
      </c>
      <c r="M19" s="19" t="str">
        <f t="shared" si="1"/>
        <v>Same</v>
      </c>
      <c r="N19" s="19" t="str">
        <f t="shared" si="2"/>
        <v>INC → AAP</v>
      </c>
      <c r="O19" s="22" t="str">
        <f t="shared" si="3"/>
        <v>AAP → BJP</v>
      </c>
      <c r="P19" s="24" t="str">
        <f t="shared" si="4"/>
        <v>INC → INC → AAP → BJP</v>
      </c>
      <c r="Q19" s="24"/>
      <c r="R19" s="24"/>
      <c r="S19" s="24"/>
      <c r="T19" s="24"/>
      <c r="U19" s="24"/>
      <c r="V19" s="24"/>
      <c r="W19" s="24"/>
      <c r="X19" s="24"/>
    </row>
    <row r="20">
      <c r="A20" s="17">
        <v>18.0</v>
      </c>
      <c r="B20" s="19" t="s">
        <v>262</v>
      </c>
      <c r="C20" s="19" t="s">
        <v>272</v>
      </c>
      <c r="D20" s="19" t="s">
        <v>61</v>
      </c>
      <c r="E20" s="19" t="s">
        <v>1217</v>
      </c>
      <c r="F20" s="19" t="s">
        <v>45</v>
      </c>
      <c r="G20" s="19" t="s">
        <v>45</v>
      </c>
      <c r="H20" s="17">
        <v>10785.0</v>
      </c>
      <c r="I20" s="19" t="s">
        <v>356</v>
      </c>
      <c r="J20" s="19" t="s">
        <v>32</v>
      </c>
      <c r="K20" s="19" t="s">
        <v>53</v>
      </c>
      <c r="L20" s="17">
        <v>1195.0</v>
      </c>
      <c r="M20" s="19" t="str">
        <f t="shared" si="1"/>
        <v>Same</v>
      </c>
      <c r="N20" s="19" t="str">
        <f t="shared" si="2"/>
        <v>INC → AAP</v>
      </c>
      <c r="O20" s="22" t="str">
        <f t="shared" si="3"/>
        <v>AAP → BJP</v>
      </c>
      <c r="P20" s="24" t="str">
        <f t="shared" si="4"/>
        <v>INC → INC → AAP → BJP</v>
      </c>
      <c r="Q20" s="24"/>
      <c r="R20" s="24"/>
      <c r="S20" s="24"/>
      <c r="T20" s="24"/>
      <c r="U20" s="24"/>
      <c r="V20" s="24"/>
      <c r="W20" s="24"/>
      <c r="X20" s="24"/>
    </row>
    <row r="21">
      <c r="A21" s="17">
        <v>19.0</v>
      </c>
      <c r="B21" s="19" t="s">
        <v>396</v>
      </c>
      <c r="C21" s="19" t="s">
        <v>272</v>
      </c>
      <c r="D21" s="19" t="s">
        <v>61</v>
      </c>
      <c r="E21" s="19" t="s">
        <v>1304</v>
      </c>
      <c r="F21" s="19" t="s">
        <v>45</v>
      </c>
      <c r="G21" s="19" t="s">
        <v>45</v>
      </c>
      <c r="H21" s="17">
        <v>10395.0</v>
      </c>
      <c r="I21" s="19" t="s">
        <v>397</v>
      </c>
      <c r="J21" s="19" t="s">
        <v>32</v>
      </c>
      <c r="K21" s="19" t="s">
        <v>32</v>
      </c>
      <c r="L21" s="17">
        <v>6649.0</v>
      </c>
      <c r="M21" s="19" t="str">
        <f t="shared" si="1"/>
        <v>Same</v>
      </c>
      <c r="N21" s="19" t="str">
        <f t="shared" si="2"/>
        <v>INC → AAP</v>
      </c>
      <c r="O21" s="22" t="str">
        <f t="shared" si="3"/>
        <v>Same</v>
      </c>
      <c r="P21" s="24" t="str">
        <f t="shared" si="4"/>
        <v>INC → INC → AAP → AAP</v>
      </c>
      <c r="Q21" s="24"/>
      <c r="R21" s="24"/>
      <c r="S21" s="24"/>
      <c r="T21" s="24"/>
      <c r="U21" s="24"/>
      <c r="V21" s="24"/>
      <c r="W21" s="24"/>
      <c r="X21" s="24"/>
    </row>
    <row r="22">
      <c r="A22" s="17">
        <v>20.0</v>
      </c>
      <c r="B22" s="19" t="s">
        <v>398</v>
      </c>
      <c r="C22" s="19" t="s">
        <v>272</v>
      </c>
      <c r="D22" s="19" t="s">
        <v>61</v>
      </c>
      <c r="E22" s="19" t="s">
        <v>1306</v>
      </c>
      <c r="F22" s="19" t="s">
        <v>45</v>
      </c>
      <c r="G22" s="19" t="s">
        <v>45</v>
      </c>
      <c r="H22" s="17">
        <v>12288.0</v>
      </c>
      <c r="I22" s="19" t="s">
        <v>399</v>
      </c>
      <c r="J22" s="19" t="s">
        <v>32</v>
      </c>
      <c r="K22" s="19" t="s">
        <v>45</v>
      </c>
      <c r="L22" s="17">
        <v>7669.0</v>
      </c>
      <c r="M22" s="19" t="str">
        <f t="shared" si="1"/>
        <v>Same</v>
      </c>
      <c r="N22" s="19" t="str">
        <f t="shared" si="2"/>
        <v>INC → AAP</v>
      </c>
      <c r="O22" s="22" t="str">
        <f t="shared" si="3"/>
        <v>AAP → INC</v>
      </c>
      <c r="P22" s="24" t="str">
        <f t="shared" si="4"/>
        <v>INC → INC → AAP → INC</v>
      </c>
      <c r="Q22" s="24"/>
      <c r="R22" s="24"/>
      <c r="S22" s="24"/>
      <c r="T22" s="24"/>
      <c r="U22" s="24"/>
      <c r="V22" s="24"/>
      <c r="W22" s="24"/>
      <c r="X22" s="24"/>
    </row>
    <row r="23">
      <c r="A23" s="17">
        <v>21.0</v>
      </c>
      <c r="B23" s="19" t="s">
        <v>400</v>
      </c>
      <c r="C23" s="19" t="s">
        <v>400</v>
      </c>
      <c r="D23" s="19" t="s">
        <v>61</v>
      </c>
      <c r="E23" s="19" t="s">
        <v>1308</v>
      </c>
      <c r="F23" s="19" t="s">
        <v>45</v>
      </c>
      <c r="G23" s="19" t="s">
        <v>45</v>
      </c>
      <c r="H23" s="17">
        <v>10866.0</v>
      </c>
      <c r="I23" s="19" t="s">
        <v>1220</v>
      </c>
      <c r="J23" s="19" t="s">
        <v>32</v>
      </c>
      <c r="K23" s="19" t="s">
        <v>1228</v>
      </c>
      <c r="L23" s="17">
        <v>24510.0</v>
      </c>
      <c r="M23" s="19" t="str">
        <f t="shared" si="1"/>
        <v>Same</v>
      </c>
      <c r="N23" s="19" t="str">
        <f t="shared" si="2"/>
        <v>INC → AAP</v>
      </c>
      <c r="O23" s="22" t="str">
        <f t="shared" si="3"/>
        <v>AAP → IND</v>
      </c>
      <c r="P23" s="24" t="str">
        <f t="shared" si="4"/>
        <v>INC → INC → AAP → IND</v>
      </c>
      <c r="Q23" s="24"/>
      <c r="R23" s="24"/>
      <c r="S23" s="24"/>
      <c r="T23" s="24"/>
      <c r="U23" s="24"/>
      <c r="V23" s="24"/>
      <c r="W23" s="24"/>
      <c r="X23" s="24"/>
    </row>
    <row r="24">
      <c r="A24" s="17">
        <v>22.0</v>
      </c>
      <c r="B24" s="19" t="s">
        <v>402</v>
      </c>
      <c r="C24" s="19" t="s">
        <v>400</v>
      </c>
      <c r="D24" s="19" t="s">
        <v>61</v>
      </c>
      <c r="E24" s="19" t="s">
        <v>1310</v>
      </c>
      <c r="F24" s="19" t="s">
        <v>45</v>
      </c>
      <c r="G24" s="19" t="s">
        <v>45</v>
      </c>
      <c r="H24" s="17">
        <v>11460.0</v>
      </c>
      <c r="I24" s="19" t="s">
        <v>403</v>
      </c>
      <c r="J24" s="19" t="s">
        <v>32</v>
      </c>
      <c r="K24" s="19" t="s">
        <v>1228</v>
      </c>
      <c r="L24" s="17">
        <v>16346.0</v>
      </c>
      <c r="M24" s="19" t="str">
        <f t="shared" si="1"/>
        <v>Same</v>
      </c>
      <c r="N24" s="19" t="str">
        <f t="shared" si="2"/>
        <v>INC → AAP</v>
      </c>
      <c r="O24" s="22" t="str">
        <f t="shared" si="3"/>
        <v>AAP → IND</v>
      </c>
      <c r="P24" s="24" t="str">
        <f t="shared" si="4"/>
        <v>INC → INC → AAP → IND</v>
      </c>
      <c r="Q24" s="24"/>
      <c r="R24" s="24"/>
      <c r="S24" s="24"/>
      <c r="T24" s="24"/>
      <c r="U24" s="24"/>
      <c r="V24" s="24"/>
      <c r="W24" s="24"/>
      <c r="X24" s="24"/>
    </row>
    <row r="25">
      <c r="A25" s="17">
        <v>23.0</v>
      </c>
      <c r="B25" s="19" t="s">
        <v>404</v>
      </c>
      <c r="C25" s="19" t="s">
        <v>400</v>
      </c>
      <c r="D25" s="19" t="s">
        <v>61</v>
      </c>
      <c r="E25" s="19" t="s">
        <v>1313</v>
      </c>
      <c r="F25" s="19" t="s">
        <v>45</v>
      </c>
      <c r="G25" s="19" t="s">
        <v>45</v>
      </c>
      <c r="H25" s="17">
        <v>5862.0</v>
      </c>
      <c r="I25" s="19" t="s">
        <v>405</v>
      </c>
      <c r="J25" s="19" t="s">
        <v>32</v>
      </c>
      <c r="K25" s="19" t="s">
        <v>1228</v>
      </c>
      <c r="L25" s="17">
        <v>28954.0</v>
      </c>
      <c r="M25" s="19" t="str">
        <f t="shared" si="1"/>
        <v>Same</v>
      </c>
      <c r="N25" s="19" t="str">
        <f t="shared" si="2"/>
        <v>INC → AAP</v>
      </c>
      <c r="O25" s="22" t="str">
        <f t="shared" si="3"/>
        <v>AAP → IND</v>
      </c>
      <c r="P25" s="24" t="str">
        <f t="shared" si="4"/>
        <v>INC → INC → AAP → IND</v>
      </c>
      <c r="Q25" s="24"/>
      <c r="R25" s="24"/>
      <c r="S25" s="24"/>
      <c r="T25" s="24"/>
      <c r="U25" s="24"/>
      <c r="V25" s="24"/>
      <c r="W25" s="24"/>
      <c r="X25" s="24"/>
    </row>
    <row r="26">
      <c r="A26" s="17">
        <v>24.0</v>
      </c>
      <c r="B26" s="19" t="s">
        <v>406</v>
      </c>
      <c r="C26" s="19" t="s">
        <v>400</v>
      </c>
      <c r="D26" s="19" t="s">
        <v>61</v>
      </c>
      <c r="E26" s="19" t="s">
        <v>1223</v>
      </c>
      <c r="F26" s="19" t="s">
        <v>45</v>
      </c>
      <c r="G26" s="19" t="s">
        <v>45</v>
      </c>
      <c r="H26" s="17">
        <v>5365.0</v>
      </c>
      <c r="I26" s="19" t="s">
        <v>407</v>
      </c>
      <c r="J26" s="19" t="s">
        <v>32</v>
      </c>
      <c r="K26" s="19" t="s">
        <v>1228</v>
      </c>
      <c r="L26" s="17">
        <v>36511.0</v>
      </c>
      <c r="M26" s="19" t="str">
        <f t="shared" si="1"/>
        <v>Same</v>
      </c>
      <c r="N26" s="19" t="str">
        <f t="shared" si="2"/>
        <v>INC → AAP</v>
      </c>
      <c r="O26" s="22" t="str">
        <f t="shared" si="3"/>
        <v>AAP → IND</v>
      </c>
      <c r="P26" s="24" t="str">
        <f t="shared" si="4"/>
        <v>INC → INC → AAP → IND</v>
      </c>
      <c r="Q26" s="24"/>
      <c r="R26" s="24"/>
      <c r="S26" s="24"/>
      <c r="T26" s="24"/>
      <c r="U26" s="24"/>
      <c r="V26" s="24"/>
      <c r="W26" s="24"/>
      <c r="X26" s="24"/>
    </row>
    <row r="27">
      <c r="A27" s="17">
        <v>25.0</v>
      </c>
      <c r="B27" s="19" t="s">
        <v>408</v>
      </c>
      <c r="C27" s="19" t="s">
        <v>272</v>
      </c>
      <c r="D27" s="19" t="s">
        <v>61</v>
      </c>
      <c r="E27" s="19" t="s">
        <v>1318</v>
      </c>
      <c r="F27" s="19" t="s">
        <v>45</v>
      </c>
      <c r="G27" s="19" t="s">
        <v>45</v>
      </c>
      <c r="H27" s="17">
        <v>26429.0</v>
      </c>
      <c r="I27" s="19" t="s">
        <v>409</v>
      </c>
      <c r="J27" s="19" t="s">
        <v>32</v>
      </c>
      <c r="K27" s="19" t="s">
        <v>1228</v>
      </c>
      <c r="L27" s="17">
        <v>31733.0</v>
      </c>
      <c r="M27" s="19" t="str">
        <f t="shared" si="1"/>
        <v>Same</v>
      </c>
      <c r="N27" s="19" t="str">
        <f t="shared" si="2"/>
        <v>INC → AAP</v>
      </c>
      <c r="O27" s="22" t="str">
        <f t="shared" si="3"/>
        <v>AAP → IND</v>
      </c>
      <c r="P27" s="24" t="str">
        <f t="shared" si="4"/>
        <v>INC → INC → AAP → IND</v>
      </c>
      <c r="Q27" s="24"/>
      <c r="R27" s="24"/>
      <c r="S27" s="24"/>
      <c r="T27" s="24"/>
      <c r="U27" s="24"/>
      <c r="V27" s="24"/>
      <c r="W27" s="24"/>
      <c r="X27" s="24"/>
    </row>
    <row r="28">
      <c r="A28" s="17">
        <v>26.0</v>
      </c>
      <c r="B28" s="19" t="s">
        <v>410</v>
      </c>
      <c r="C28" s="19" t="s">
        <v>411</v>
      </c>
      <c r="D28" s="19" t="s">
        <v>127</v>
      </c>
      <c r="E28" s="19" t="s">
        <v>412</v>
      </c>
      <c r="F28" s="19" t="s">
        <v>32</v>
      </c>
      <c r="G28" s="19" t="s">
        <v>45</v>
      </c>
      <c r="H28" s="17">
        <v>506.0</v>
      </c>
      <c r="I28" s="19" t="s">
        <v>412</v>
      </c>
      <c r="J28" s="19" t="s">
        <v>45</v>
      </c>
      <c r="K28" s="19" t="s">
        <v>32</v>
      </c>
      <c r="L28" s="17">
        <v>759.0</v>
      </c>
      <c r="M28" s="19" t="str">
        <f t="shared" si="1"/>
        <v>AAP → INC</v>
      </c>
      <c r="N28" s="19" t="str">
        <f t="shared" si="2"/>
        <v>Same</v>
      </c>
      <c r="O28" s="22" t="str">
        <f t="shared" si="3"/>
        <v>INC → AAP</v>
      </c>
      <c r="P28" s="24" t="str">
        <f t="shared" si="4"/>
        <v>AAP → INC → INC → AAP</v>
      </c>
      <c r="Q28" s="24"/>
      <c r="R28" s="24"/>
      <c r="S28" s="24"/>
      <c r="T28" s="24"/>
      <c r="U28" s="24"/>
      <c r="V28" s="24"/>
      <c r="W28" s="24"/>
      <c r="X28" s="24"/>
    </row>
    <row r="29">
      <c r="A29" s="17">
        <v>27.0</v>
      </c>
      <c r="B29" s="19" t="s">
        <v>411</v>
      </c>
      <c r="C29" s="19" t="s">
        <v>411</v>
      </c>
      <c r="D29" s="19" t="s">
        <v>127</v>
      </c>
      <c r="E29" s="19" t="s">
        <v>1323</v>
      </c>
      <c r="F29" s="19" t="s">
        <v>45</v>
      </c>
      <c r="G29" s="19" t="s">
        <v>45</v>
      </c>
      <c r="H29" s="17">
        <v>7224.0</v>
      </c>
      <c r="I29" s="19" t="s">
        <v>423</v>
      </c>
      <c r="J29" s="19" t="s">
        <v>45</v>
      </c>
      <c r="K29" s="19" t="s">
        <v>45</v>
      </c>
      <c r="L29" s="17">
        <v>7055.0</v>
      </c>
      <c r="M29" s="19" t="str">
        <f t="shared" si="1"/>
        <v>Same</v>
      </c>
      <c r="N29" s="19" t="str">
        <f t="shared" si="2"/>
        <v>Same</v>
      </c>
      <c r="O29" s="22" t="str">
        <f t="shared" si="3"/>
        <v>Same</v>
      </c>
      <c r="P29" s="24" t="str">
        <f t="shared" si="4"/>
        <v>INC → INC → INC → INC</v>
      </c>
      <c r="Q29" s="24"/>
      <c r="R29" s="24"/>
      <c r="S29" s="24"/>
      <c r="T29" s="24"/>
      <c r="U29" s="24"/>
      <c r="V29" s="24"/>
      <c r="W29" s="24"/>
      <c r="X29" s="24"/>
    </row>
    <row r="30">
      <c r="A30" s="17">
        <v>28.0</v>
      </c>
      <c r="B30" s="19" t="s">
        <v>426</v>
      </c>
      <c r="C30" s="19" t="s">
        <v>411</v>
      </c>
      <c r="D30" s="19" t="s">
        <v>127</v>
      </c>
      <c r="E30" s="19" t="s">
        <v>1326</v>
      </c>
      <c r="F30" s="19" t="s">
        <v>45</v>
      </c>
      <c r="G30" s="19" t="s">
        <v>45</v>
      </c>
      <c r="H30" s="17">
        <v>18230.0</v>
      </c>
      <c r="I30" s="19" t="s">
        <v>427</v>
      </c>
      <c r="J30" s="19" t="s">
        <v>1228</v>
      </c>
      <c r="K30" s="19" t="s">
        <v>1228</v>
      </c>
      <c r="L30" s="17">
        <v>9430.0</v>
      </c>
      <c r="M30" s="19" t="str">
        <f t="shared" si="1"/>
        <v>Same</v>
      </c>
      <c r="N30" s="19" t="str">
        <f t="shared" si="2"/>
        <v>INC → IND</v>
      </c>
      <c r="O30" s="22" t="str">
        <f t="shared" si="3"/>
        <v>Same</v>
      </c>
      <c r="P30" s="24" t="str">
        <f t="shared" si="4"/>
        <v>INC → INC → IND → IND</v>
      </c>
      <c r="Q30" s="24"/>
      <c r="R30" s="24"/>
      <c r="S30" s="24"/>
      <c r="T30" s="24"/>
      <c r="U30" s="24"/>
      <c r="V30" s="24"/>
      <c r="W30" s="24"/>
      <c r="X30" s="24"/>
    </row>
    <row r="31">
      <c r="A31" s="17">
        <v>29.0</v>
      </c>
      <c r="B31" s="19" t="s">
        <v>248</v>
      </c>
      <c r="C31" s="19" t="s">
        <v>411</v>
      </c>
      <c r="D31" s="19" t="s">
        <v>127</v>
      </c>
      <c r="E31" s="19" t="s">
        <v>1329</v>
      </c>
      <c r="F31" s="19" t="s">
        <v>53</v>
      </c>
      <c r="G31" s="19" t="s">
        <v>53</v>
      </c>
      <c r="H31" s="17">
        <v>5146.0</v>
      </c>
      <c r="I31" s="19" t="s">
        <v>430</v>
      </c>
      <c r="J31" s="19" t="s">
        <v>45</v>
      </c>
      <c r="K31" s="19" t="s">
        <v>32</v>
      </c>
      <c r="L31" s="17">
        <v>959.0</v>
      </c>
      <c r="M31" s="19" t="str">
        <f t="shared" si="1"/>
        <v>Same</v>
      </c>
      <c r="N31" s="19" t="str">
        <f t="shared" si="2"/>
        <v>BJP → INC</v>
      </c>
      <c r="O31" s="22" t="str">
        <f t="shared" si="3"/>
        <v>INC → AAP</v>
      </c>
      <c r="P31" s="24" t="str">
        <f t="shared" si="4"/>
        <v>BJP → BJP → INC → AAP</v>
      </c>
      <c r="Q31" s="24"/>
      <c r="R31" s="24"/>
      <c r="S31" s="24"/>
      <c r="T31" s="24"/>
      <c r="U31" s="24"/>
      <c r="V31" s="24"/>
      <c r="W31" s="24"/>
      <c r="X31" s="24"/>
    </row>
    <row r="32">
      <c r="A32" s="17">
        <v>30.0</v>
      </c>
      <c r="B32" s="19" t="s">
        <v>433</v>
      </c>
      <c r="C32" s="19" t="s">
        <v>436</v>
      </c>
      <c r="D32" s="19" t="s">
        <v>127</v>
      </c>
      <c r="E32" s="19" t="s">
        <v>1231</v>
      </c>
      <c r="F32" s="19" t="s">
        <v>51</v>
      </c>
      <c r="G32" s="19" t="s">
        <v>45</v>
      </c>
      <c r="H32" s="17">
        <v>1085.0</v>
      </c>
      <c r="I32" s="19" t="s">
        <v>437</v>
      </c>
      <c r="J32" s="19" t="s">
        <v>45</v>
      </c>
      <c r="K32" s="19" t="s">
        <v>45</v>
      </c>
      <c r="L32" s="17">
        <v>19555.0</v>
      </c>
      <c r="M32" s="19" t="str">
        <f t="shared" si="1"/>
        <v>SAD → INC</v>
      </c>
      <c r="N32" s="19" t="str">
        <f t="shared" si="2"/>
        <v>Same</v>
      </c>
      <c r="O32" s="22" t="str">
        <f t="shared" si="3"/>
        <v>Same</v>
      </c>
      <c r="P32" s="24" t="str">
        <f t="shared" si="4"/>
        <v>SAD → INC → INC → INC</v>
      </c>
      <c r="Q32" s="24"/>
      <c r="R32" s="24"/>
      <c r="S32" s="24"/>
      <c r="T32" s="24"/>
      <c r="U32" s="24"/>
      <c r="V32" s="24"/>
      <c r="W32" s="24"/>
      <c r="X32" s="24"/>
    </row>
    <row r="33">
      <c r="A33" s="17">
        <v>31.0</v>
      </c>
      <c r="B33" s="19" t="s">
        <v>235</v>
      </c>
      <c r="C33" s="19" t="s">
        <v>436</v>
      </c>
      <c r="D33" s="19" t="s">
        <v>127</v>
      </c>
      <c r="E33" s="19" t="s">
        <v>1332</v>
      </c>
      <c r="F33" s="19" t="s">
        <v>51</v>
      </c>
      <c r="G33" s="19" t="s">
        <v>51</v>
      </c>
      <c r="H33" s="17">
        <v>2638.0</v>
      </c>
      <c r="I33" s="19" t="s">
        <v>442</v>
      </c>
      <c r="J33" s="19" t="s">
        <v>32</v>
      </c>
      <c r="K33" s="19" t="s">
        <v>45</v>
      </c>
      <c r="L33" s="17">
        <v>20673.0</v>
      </c>
      <c r="M33" s="19" t="str">
        <f t="shared" si="1"/>
        <v>Same</v>
      </c>
      <c r="N33" s="19" t="str">
        <f t="shared" si="2"/>
        <v>SAD → AAP</v>
      </c>
      <c r="O33" s="22" t="str">
        <f t="shared" si="3"/>
        <v>AAP → INC</v>
      </c>
      <c r="P33" s="24" t="str">
        <f t="shared" si="4"/>
        <v>SAD → SAD → AAP → INC</v>
      </c>
      <c r="Q33" s="24"/>
      <c r="R33" s="24"/>
      <c r="S33" s="24"/>
      <c r="T33" s="24"/>
      <c r="U33" s="24"/>
      <c r="V33" s="24"/>
      <c r="W33" s="24"/>
      <c r="X33" s="24"/>
    </row>
    <row r="34">
      <c r="A34" s="17">
        <v>32.0</v>
      </c>
      <c r="B34" s="19" t="s">
        <v>444</v>
      </c>
      <c r="C34" s="19" t="s">
        <v>436</v>
      </c>
      <c r="D34" s="19" t="s">
        <v>127</v>
      </c>
      <c r="E34" s="19" t="s">
        <v>1335</v>
      </c>
      <c r="F34" s="19" t="s">
        <v>51</v>
      </c>
      <c r="G34" s="19" t="s">
        <v>45</v>
      </c>
      <c r="H34" s="17">
        <v>19458.0</v>
      </c>
      <c r="I34" s="19" t="s">
        <v>445</v>
      </c>
      <c r="J34" s="19" t="s">
        <v>45</v>
      </c>
      <c r="K34" s="19" t="s">
        <v>45</v>
      </c>
      <c r="L34" s="17">
        <v>18893.0</v>
      </c>
      <c r="M34" s="19" t="str">
        <f t="shared" si="1"/>
        <v>SAD → INC</v>
      </c>
      <c r="N34" s="19" t="str">
        <f t="shared" si="2"/>
        <v>Same</v>
      </c>
      <c r="O34" s="22" t="str">
        <f t="shared" si="3"/>
        <v>Same</v>
      </c>
      <c r="P34" s="24" t="str">
        <f t="shared" si="4"/>
        <v>SAD → INC → INC → INC</v>
      </c>
      <c r="Q34" s="24"/>
      <c r="R34" s="24"/>
      <c r="S34" s="24"/>
      <c r="T34" s="24"/>
      <c r="U34" s="24"/>
      <c r="V34" s="24"/>
      <c r="W34" s="24"/>
      <c r="X34" s="24"/>
    </row>
    <row r="35">
      <c r="A35" s="17">
        <v>33.0</v>
      </c>
      <c r="B35" s="19" t="s">
        <v>267</v>
      </c>
      <c r="C35" s="19" t="s">
        <v>436</v>
      </c>
      <c r="D35" s="19" t="s">
        <v>127</v>
      </c>
      <c r="E35" s="19" t="s">
        <v>1234</v>
      </c>
      <c r="F35" s="19" t="s">
        <v>45</v>
      </c>
      <c r="G35" s="19" t="s">
        <v>45</v>
      </c>
      <c r="H35" s="17">
        <v>2562.0</v>
      </c>
      <c r="I35" s="19" t="s">
        <v>447</v>
      </c>
      <c r="J35" s="19" t="s">
        <v>32</v>
      </c>
      <c r="K35" s="19" t="s">
        <v>45</v>
      </c>
      <c r="L35" s="17">
        <v>16052.0</v>
      </c>
      <c r="M35" s="19" t="str">
        <f t="shared" si="1"/>
        <v>Same</v>
      </c>
      <c r="N35" s="19" t="str">
        <f t="shared" si="2"/>
        <v>INC → AAP</v>
      </c>
      <c r="O35" s="22" t="str">
        <f t="shared" si="3"/>
        <v>AAP → INC</v>
      </c>
      <c r="P35" s="24" t="str">
        <f t="shared" si="4"/>
        <v>INC → INC → AAP → INC</v>
      </c>
      <c r="Q35" s="24"/>
      <c r="R35" s="24"/>
      <c r="S35" s="24"/>
      <c r="T35" s="24"/>
      <c r="U35" s="24"/>
      <c r="V35" s="24"/>
      <c r="W35" s="24"/>
      <c r="X35" s="24"/>
    </row>
    <row r="36">
      <c r="A36" s="17">
        <v>34.0</v>
      </c>
      <c r="B36" s="19" t="s">
        <v>274</v>
      </c>
      <c r="C36" s="19" t="s">
        <v>436</v>
      </c>
      <c r="D36" s="19" t="s">
        <v>127</v>
      </c>
      <c r="E36" s="19" t="s">
        <v>1235</v>
      </c>
      <c r="F36" s="19" t="s">
        <v>45</v>
      </c>
      <c r="G36" s="19" t="s">
        <v>45</v>
      </c>
      <c r="H36" s="17">
        <v>1489.0</v>
      </c>
      <c r="I36" s="19" t="s">
        <v>448</v>
      </c>
      <c r="J36" s="19" t="s">
        <v>32</v>
      </c>
      <c r="K36" s="19" t="s">
        <v>45</v>
      </c>
      <c r="L36" s="17">
        <v>1557.0</v>
      </c>
      <c r="M36" s="19" t="str">
        <f t="shared" si="1"/>
        <v>Same</v>
      </c>
      <c r="N36" s="19" t="str">
        <f t="shared" si="2"/>
        <v>INC → AAP</v>
      </c>
      <c r="O36" s="22" t="str">
        <f t="shared" si="3"/>
        <v>AAP → INC</v>
      </c>
      <c r="P36" s="24" t="str">
        <f t="shared" si="4"/>
        <v>INC → INC → AAP → INC</v>
      </c>
      <c r="Q36" s="24"/>
      <c r="R36" s="24"/>
      <c r="S36" s="24"/>
      <c r="T36" s="24"/>
      <c r="U36" s="24"/>
      <c r="V36" s="24"/>
      <c r="W36" s="24"/>
      <c r="X36" s="24"/>
    </row>
    <row r="37">
      <c r="A37" s="17">
        <v>35.0</v>
      </c>
      <c r="B37" s="19" t="s">
        <v>215</v>
      </c>
      <c r="C37" s="19" t="s">
        <v>436</v>
      </c>
      <c r="D37" s="19" t="s">
        <v>127</v>
      </c>
      <c r="E37" s="19" t="s">
        <v>1236</v>
      </c>
      <c r="F37" s="19" t="s">
        <v>45</v>
      </c>
      <c r="G37" s="19" t="s">
        <v>51</v>
      </c>
      <c r="H37" s="17">
        <v>5342.0</v>
      </c>
      <c r="I37" s="19" t="s">
        <v>449</v>
      </c>
      <c r="J37" s="19" t="s">
        <v>32</v>
      </c>
      <c r="K37" s="19" t="s">
        <v>53</v>
      </c>
      <c r="L37" s="17">
        <v>3733.0</v>
      </c>
      <c r="M37" s="19" t="str">
        <f t="shared" si="1"/>
        <v>INC → SAD</v>
      </c>
      <c r="N37" s="19" t="str">
        <f t="shared" si="2"/>
        <v>SAD → AAP</v>
      </c>
      <c r="O37" s="22" t="str">
        <f t="shared" si="3"/>
        <v>AAP → BJP</v>
      </c>
      <c r="P37" s="24" t="str">
        <f t="shared" si="4"/>
        <v>INC → SAD → AAP → BJP</v>
      </c>
      <c r="Q37" s="24"/>
      <c r="R37" s="24"/>
      <c r="S37" s="24"/>
      <c r="T37" s="24"/>
      <c r="U37" s="24"/>
      <c r="V37" s="24"/>
      <c r="W37" s="24"/>
      <c r="X37" s="24"/>
    </row>
    <row r="38">
      <c r="A38" s="17">
        <v>36.0</v>
      </c>
      <c r="B38" s="19" t="s">
        <v>451</v>
      </c>
      <c r="C38" s="19" t="s">
        <v>436</v>
      </c>
      <c r="D38" s="19" t="s">
        <v>127</v>
      </c>
      <c r="E38" s="19" t="s">
        <v>452</v>
      </c>
      <c r="F38" s="19" t="s">
        <v>45</v>
      </c>
      <c r="G38" s="19" t="s">
        <v>51</v>
      </c>
      <c r="H38" s="17">
        <v>6218.0</v>
      </c>
      <c r="I38" s="19" t="s">
        <v>452</v>
      </c>
      <c r="J38" s="19" t="s">
        <v>45</v>
      </c>
      <c r="K38" s="19" t="s">
        <v>53</v>
      </c>
      <c r="L38" s="17">
        <v>5986.0</v>
      </c>
      <c r="M38" s="19" t="str">
        <f t="shared" si="1"/>
        <v>INC → SAD</v>
      </c>
      <c r="N38" s="19" t="str">
        <f t="shared" si="2"/>
        <v>SAD → INC</v>
      </c>
      <c r="O38" s="22" t="str">
        <f t="shared" si="3"/>
        <v>INC → BJP</v>
      </c>
      <c r="P38" s="24" t="str">
        <f t="shared" si="4"/>
        <v>INC → SAD → INC → BJP</v>
      </c>
      <c r="Q38" s="24"/>
      <c r="R38" s="24"/>
      <c r="S38" s="24"/>
      <c r="T38" s="24"/>
      <c r="U38" s="24"/>
      <c r="V38" s="24"/>
      <c r="W38" s="24"/>
      <c r="X38" s="24"/>
    </row>
    <row r="39">
      <c r="A39" s="17">
        <v>37.0</v>
      </c>
      <c r="B39" s="19" t="s">
        <v>453</v>
      </c>
      <c r="C39" s="19" t="s">
        <v>436</v>
      </c>
      <c r="D39" s="19" t="s">
        <v>127</v>
      </c>
      <c r="E39" s="19" t="s">
        <v>454</v>
      </c>
      <c r="F39" s="19" t="s">
        <v>45</v>
      </c>
      <c r="G39" s="19" t="s">
        <v>45</v>
      </c>
      <c r="H39" s="17">
        <v>2422.0</v>
      </c>
      <c r="I39" s="19" t="s">
        <v>454</v>
      </c>
      <c r="J39" s="19" t="s">
        <v>45</v>
      </c>
      <c r="K39" s="19" t="s">
        <v>45</v>
      </c>
      <c r="L39" s="17">
        <v>16356.0</v>
      </c>
      <c r="M39" s="19" t="str">
        <f t="shared" si="1"/>
        <v>Same</v>
      </c>
      <c r="N39" s="19" t="str">
        <f t="shared" si="2"/>
        <v>Same</v>
      </c>
      <c r="O39" s="22" t="str">
        <f t="shared" si="3"/>
        <v>Same</v>
      </c>
      <c r="P39" s="24" t="str">
        <f t="shared" si="4"/>
        <v>INC → INC → INC → INC</v>
      </c>
      <c r="Q39" s="24"/>
      <c r="R39" s="24"/>
      <c r="S39" s="24"/>
      <c r="T39" s="24"/>
      <c r="U39" s="24"/>
      <c r="V39" s="24"/>
      <c r="W39" s="24"/>
      <c r="X39" s="24"/>
    </row>
    <row r="40">
      <c r="A40" s="17">
        <v>38.0</v>
      </c>
      <c r="B40" s="19" t="s">
        <v>456</v>
      </c>
      <c r="C40" s="19" t="s">
        <v>436</v>
      </c>
      <c r="D40" s="19" t="s">
        <v>127</v>
      </c>
      <c r="E40" s="19" t="s">
        <v>1240</v>
      </c>
      <c r="F40" s="19" t="s">
        <v>51</v>
      </c>
      <c r="G40" s="19" t="s">
        <v>74</v>
      </c>
      <c r="H40" s="17">
        <v>9376.0</v>
      </c>
      <c r="I40" s="19" t="s">
        <v>457</v>
      </c>
      <c r="J40" s="19" t="s">
        <v>45</v>
      </c>
      <c r="K40" s="19" t="s">
        <v>45</v>
      </c>
      <c r="L40" s="17">
        <v>14071.0</v>
      </c>
      <c r="M40" s="19" t="str">
        <f t="shared" si="1"/>
        <v>SAD → BSP</v>
      </c>
      <c r="N40" s="19" t="str">
        <f t="shared" si="2"/>
        <v>BSP → INC</v>
      </c>
      <c r="O40" s="22" t="str">
        <f t="shared" si="3"/>
        <v>Same</v>
      </c>
      <c r="P40" s="24" t="str">
        <f t="shared" si="4"/>
        <v>SAD → BSP → INC → INC</v>
      </c>
      <c r="Q40" s="24"/>
      <c r="R40" s="24"/>
      <c r="S40" s="24"/>
      <c r="T40" s="24"/>
      <c r="U40" s="24"/>
      <c r="V40" s="24"/>
      <c r="W40" s="24"/>
      <c r="X40" s="24"/>
    </row>
    <row r="41">
      <c r="A41" s="17">
        <v>39.0</v>
      </c>
      <c r="B41" s="19" t="s">
        <v>458</v>
      </c>
      <c r="C41" s="19" t="s">
        <v>459</v>
      </c>
      <c r="D41" s="19" t="s">
        <v>127</v>
      </c>
      <c r="E41" s="19" t="s">
        <v>1350</v>
      </c>
      <c r="F41" s="19" t="s">
        <v>45</v>
      </c>
      <c r="G41" s="19" t="s">
        <v>53</v>
      </c>
      <c r="H41" s="17">
        <v>37706.0</v>
      </c>
      <c r="I41" s="19" t="s">
        <v>460</v>
      </c>
      <c r="J41" s="19" t="s">
        <v>53</v>
      </c>
      <c r="K41" s="19" t="s">
        <v>53</v>
      </c>
      <c r="L41" s="17">
        <v>11074.0</v>
      </c>
      <c r="M41" s="19" t="str">
        <f t="shared" si="1"/>
        <v>INC → BJP</v>
      </c>
      <c r="N41" s="19" t="str">
        <f t="shared" si="2"/>
        <v>Same</v>
      </c>
      <c r="O41" s="22" t="str">
        <f t="shared" si="3"/>
        <v>Same</v>
      </c>
      <c r="P41" s="24" t="str">
        <f t="shared" si="4"/>
        <v>INC → BJP → BJP → BJP</v>
      </c>
      <c r="Q41" s="24"/>
      <c r="R41" s="24"/>
      <c r="S41" s="24"/>
      <c r="T41" s="24"/>
      <c r="U41" s="24"/>
      <c r="V41" s="24"/>
      <c r="W41" s="24"/>
      <c r="X41" s="24"/>
    </row>
    <row r="42">
      <c r="A42" s="17">
        <v>40.0</v>
      </c>
      <c r="B42" s="19" t="s">
        <v>461</v>
      </c>
      <c r="C42" s="19" t="s">
        <v>459</v>
      </c>
      <c r="D42" s="19" t="s">
        <v>127</v>
      </c>
      <c r="E42" s="19" t="s">
        <v>1242</v>
      </c>
      <c r="F42" s="19" t="s">
        <v>45</v>
      </c>
      <c r="G42" s="19" t="s">
        <v>53</v>
      </c>
      <c r="H42" s="17">
        <v>22773.0</v>
      </c>
      <c r="I42" s="19" t="s">
        <v>463</v>
      </c>
      <c r="J42" s="19" t="s">
        <v>32</v>
      </c>
      <c r="K42" s="19" t="s">
        <v>53</v>
      </c>
      <c r="L42" s="17">
        <v>4043.0</v>
      </c>
      <c r="M42" s="19" t="str">
        <f t="shared" si="1"/>
        <v>INC → BJP</v>
      </c>
      <c r="N42" s="19" t="str">
        <f t="shared" si="2"/>
        <v>BJP → AAP</v>
      </c>
      <c r="O42" s="22" t="str">
        <f t="shared" si="3"/>
        <v>AAP → BJP</v>
      </c>
      <c r="P42" s="24" t="str">
        <f t="shared" si="4"/>
        <v>INC → BJP → AAP → BJP</v>
      </c>
      <c r="Q42" s="24"/>
      <c r="R42" s="24"/>
      <c r="S42" s="24"/>
      <c r="T42" s="24"/>
      <c r="U42" s="24"/>
      <c r="V42" s="24"/>
      <c r="W42" s="24"/>
      <c r="X42" s="24"/>
    </row>
    <row r="43">
      <c r="A43" s="17">
        <v>41.0</v>
      </c>
      <c r="B43" s="19" t="s">
        <v>275</v>
      </c>
      <c r="C43" s="19" t="s">
        <v>459</v>
      </c>
      <c r="D43" s="19" t="s">
        <v>127</v>
      </c>
      <c r="E43" s="19" t="s">
        <v>1243</v>
      </c>
      <c r="F43" s="19" t="s">
        <v>45</v>
      </c>
      <c r="G43" s="19" t="s">
        <v>45</v>
      </c>
      <c r="H43" s="17">
        <v>417.0</v>
      </c>
      <c r="I43" s="19" t="s">
        <v>468</v>
      </c>
      <c r="J43" s="19" t="s">
        <v>32</v>
      </c>
      <c r="K43" s="19" t="s">
        <v>45</v>
      </c>
      <c r="L43" s="17">
        <v>3034.0</v>
      </c>
      <c r="M43" s="19" t="str">
        <f t="shared" si="1"/>
        <v>Same</v>
      </c>
      <c r="N43" s="19" t="str">
        <f t="shared" si="2"/>
        <v>INC → AAP</v>
      </c>
      <c r="O43" s="22" t="str">
        <f t="shared" si="3"/>
        <v>AAP → INC</v>
      </c>
      <c r="P43" s="24" t="str">
        <f t="shared" si="4"/>
        <v>INC → INC → AAP → INC</v>
      </c>
      <c r="Q43" s="24"/>
      <c r="R43" s="24"/>
      <c r="S43" s="24"/>
      <c r="T43" s="24"/>
      <c r="U43" s="24"/>
      <c r="V43" s="24"/>
      <c r="W43" s="24"/>
      <c r="X43" s="24"/>
    </row>
    <row r="44">
      <c r="A44" s="17">
        <v>42.0</v>
      </c>
      <c r="B44" s="19" t="s">
        <v>462</v>
      </c>
      <c r="C44" s="19" t="s">
        <v>459</v>
      </c>
      <c r="D44" s="19" t="s">
        <v>127</v>
      </c>
      <c r="E44" s="19" t="s">
        <v>1244</v>
      </c>
      <c r="F44" s="19" t="s">
        <v>45</v>
      </c>
      <c r="G44" s="19" t="s">
        <v>45</v>
      </c>
      <c r="H44" s="17">
        <v>3596.0</v>
      </c>
      <c r="I44" s="19" t="s">
        <v>474</v>
      </c>
      <c r="J44" s="19" t="s">
        <v>32</v>
      </c>
      <c r="K44" s="19" t="s">
        <v>32</v>
      </c>
      <c r="L44" s="17">
        <v>2268.0</v>
      </c>
      <c r="M44" s="19" t="str">
        <f t="shared" si="1"/>
        <v>Same</v>
      </c>
      <c r="N44" s="19" t="str">
        <f t="shared" si="2"/>
        <v>INC → AAP</v>
      </c>
      <c r="O44" s="22" t="str">
        <f t="shared" si="3"/>
        <v>Same</v>
      </c>
      <c r="P44" s="24" t="str">
        <f t="shared" si="4"/>
        <v>INC → INC → AAP → AAP</v>
      </c>
      <c r="Q44" s="24"/>
      <c r="R44" s="24"/>
      <c r="S44" s="24"/>
      <c r="T44" s="24"/>
      <c r="U44" s="24"/>
      <c r="V44" s="24"/>
      <c r="W44" s="24"/>
      <c r="X44" s="24"/>
    </row>
    <row r="45">
      <c r="A45" s="17">
        <v>43.0</v>
      </c>
      <c r="B45" s="19" t="s">
        <v>459</v>
      </c>
      <c r="C45" s="19" t="s">
        <v>459</v>
      </c>
      <c r="D45" s="19" t="s">
        <v>127</v>
      </c>
      <c r="E45" s="19" t="s">
        <v>1245</v>
      </c>
      <c r="F45" s="19" t="s">
        <v>45</v>
      </c>
      <c r="G45" s="19" t="s">
        <v>53</v>
      </c>
      <c r="H45" s="17">
        <v>8804.0</v>
      </c>
      <c r="I45" s="19" t="s">
        <v>480</v>
      </c>
      <c r="J45" s="19" t="s">
        <v>32</v>
      </c>
      <c r="K45" s="19" t="s">
        <v>53</v>
      </c>
      <c r="L45" s="17">
        <v>1707.0</v>
      </c>
      <c r="M45" s="19" t="str">
        <f t="shared" si="1"/>
        <v>INC → BJP</v>
      </c>
      <c r="N45" s="19" t="str">
        <f t="shared" si="2"/>
        <v>BJP → AAP</v>
      </c>
      <c r="O45" s="22" t="str">
        <f t="shared" si="3"/>
        <v>AAP → BJP</v>
      </c>
      <c r="P45" s="24" t="str">
        <f t="shared" si="4"/>
        <v>INC → BJP → AAP → BJP</v>
      </c>
      <c r="Q45" s="24"/>
      <c r="R45" s="24"/>
      <c r="S45" s="24"/>
      <c r="T45" s="24"/>
      <c r="U45" s="24"/>
      <c r="V45" s="24"/>
      <c r="W45" s="24"/>
      <c r="X45" s="24"/>
    </row>
    <row r="46">
      <c r="A46" s="17">
        <v>44.0</v>
      </c>
      <c r="B46" s="19" t="s">
        <v>247</v>
      </c>
      <c r="C46" s="19" t="s">
        <v>459</v>
      </c>
      <c r="D46" s="19" t="s">
        <v>127</v>
      </c>
      <c r="E46" s="19" t="s">
        <v>1246</v>
      </c>
      <c r="F46" s="19" t="s">
        <v>45</v>
      </c>
      <c r="G46" s="19" t="s">
        <v>45</v>
      </c>
      <c r="H46" s="17">
        <v>7616.0</v>
      </c>
      <c r="I46" s="19" t="s">
        <v>1246</v>
      </c>
      <c r="J46" s="19" t="s">
        <v>45</v>
      </c>
      <c r="K46" s="19" t="s">
        <v>32</v>
      </c>
      <c r="L46" s="17">
        <v>26771.0</v>
      </c>
      <c r="M46" s="19" t="str">
        <f t="shared" si="1"/>
        <v>Same</v>
      </c>
      <c r="N46" s="19" t="str">
        <f t="shared" si="2"/>
        <v>Same</v>
      </c>
      <c r="O46" s="22" t="str">
        <f t="shared" si="3"/>
        <v>INC → AAP</v>
      </c>
      <c r="P46" s="24" t="str">
        <f t="shared" si="4"/>
        <v>INC → INC → INC → AAP</v>
      </c>
      <c r="Q46" s="24"/>
      <c r="R46" s="24"/>
      <c r="S46" s="24"/>
      <c r="T46" s="24"/>
      <c r="U46" s="24"/>
      <c r="V46" s="24"/>
      <c r="W46" s="24"/>
      <c r="X46" s="24"/>
    </row>
    <row r="47">
      <c r="A47" s="17">
        <v>45.0</v>
      </c>
      <c r="B47" s="19" t="s">
        <v>465</v>
      </c>
      <c r="C47" s="19" t="s">
        <v>459</v>
      </c>
      <c r="D47" s="19" t="s">
        <v>127</v>
      </c>
      <c r="E47" s="19" t="s">
        <v>492</v>
      </c>
      <c r="F47" s="19" t="s">
        <v>32</v>
      </c>
      <c r="G47" s="19" t="s">
        <v>45</v>
      </c>
      <c r="H47" s="17">
        <v>3466.0</v>
      </c>
      <c r="I47" s="19" t="s">
        <v>492</v>
      </c>
      <c r="J47" s="19" t="s">
        <v>32</v>
      </c>
      <c r="K47" s="19" t="s">
        <v>32</v>
      </c>
      <c r="L47" s="17">
        <v>10711.0</v>
      </c>
      <c r="M47" s="19" t="str">
        <f t="shared" si="1"/>
        <v>AAP → INC</v>
      </c>
      <c r="N47" s="19" t="str">
        <f t="shared" si="2"/>
        <v>INC → AAP</v>
      </c>
      <c r="O47" s="22" t="str">
        <f t="shared" si="3"/>
        <v>Same</v>
      </c>
      <c r="P47" s="24" t="str">
        <f t="shared" si="4"/>
        <v>AAP → INC → AAP → AAP</v>
      </c>
      <c r="Q47" s="24"/>
      <c r="R47" s="24"/>
      <c r="S47" s="24"/>
      <c r="T47" s="24"/>
      <c r="U47" s="24"/>
      <c r="V47" s="24"/>
      <c r="W47" s="24"/>
      <c r="X47" s="24"/>
    </row>
    <row r="48">
      <c r="A48" s="17">
        <v>46.0</v>
      </c>
      <c r="B48" s="19" t="s">
        <v>211</v>
      </c>
      <c r="C48" s="19" t="s">
        <v>487</v>
      </c>
      <c r="D48" s="19" t="s">
        <v>127</v>
      </c>
      <c r="E48" s="19" t="s">
        <v>1366</v>
      </c>
      <c r="F48" s="19" t="s">
        <v>51</v>
      </c>
      <c r="G48" s="19" t="s">
        <v>74</v>
      </c>
      <c r="H48" s="17">
        <v>881.0</v>
      </c>
      <c r="I48" s="19" t="s">
        <v>1249</v>
      </c>
      <c r="J48" s="19" t="s">
        <v>51</v>
      </c>
      <c r="K48" s="19" t="s">
        <v>32</v>
      </c>
      <c r="L48" s="17">
        <v>1260.0</v>
      </c>
      <c r="M48" s="19" t="str">
        <f t="shared" si="1"/>
        <v>SAD → BSP</v>
      </c>
      <c r="N48" s="19" t="str">
        <f t="shared" si="2"/>
        <v>BSP → SAD</v>
      </c>
      <c r="O48" s="22" t="str">
        <f t="shared" si="3"/>
        <v>SAD → AAP</v>
      </c>
      <c r="P48" s="24" t="str">
        <f t="shared" si="4"/>
        <v>SAD → BSP → SAD → AAP</v>
      </c>
      <c r="Q48" s="24"/>
      <c r="R48" s="24"/>
      <c r="S48" s="24"/>
      <c r="T48" s="24"/>
      <c r="U48" s="24"/>
      <c r="V48" s="24"/>
      <c r="W48" s="24"/>
      <c r="X48" s="24"/>
    </row>
    <row r="49">
      <c r="A49" s="17">
        <v>47.0</v>
      </c>
      <c r="B49" s="19" t="s">
        <v>259</v>
      </c>
      <c r="C49" s="19" t="s">
        <v>487</v>
      </c>
      <c r="D49" s="19" t="s">
        <v>127</v>
      </c>
      <c r="E49" s="19" t="s">
        <v>1369</v>
      </c>
      <c r="F49" s="19" t="s">
        <v>45</v>
      </c>
      <c r="G49" s="19" t="s">
        <v>45</v>
      </c>
      <c r="H49" s="17">
        <v>5569.0</v>
      </c>
      <c r="I49" s="19" t="s">
        <v>511</v>
      </c>
      <c r="J49" s="19" t="s">
        <v>74</v>
      </c>
      <c r="K49" s="19" t="s">
        <v>32</v>
      </c>
      <c r="L49" s="17">
        <v>8954.0</v>
      </c>
      <c r="M49" s="19" t="str">
        <f t="shared" si="1"/>
        <v>Same</v>
      </c>
      <c r="N49" s="19" t="str">
        <f t="shared" si="2"/>
        <v>INC → BSP</v>
      </c>
      <c r="O49" s="22" t="str">
        <f t="shared" si="3"/>
        <v>BSP → AAP</v>
      </c>
      <c r="P49" s="24" t="str">
        <f t="shared" si="4"/>
        <v>INC → INC → BSP → AAP</v>
      </c>
      <c r="Q49" s="24"/>
      <c r="R49" s="24"/>
      <c r="S49" s="24"/>
      <c r="T49" s="24"/>
      <c r="U49" s="24"/>
      <c r="V49" s="24"/>
      <c r="W49" s="24"/>
      <c r="X49" s="24"/>
    </row>
    <row r="50">
      <c r="A50" s="17">
        <v>48.0</v>
      </c>
      <c r="B50" s="19" t="s">
        <v>278</v>
      </c>
      <c r="C50" s="19" t="s">
        <v>487</v>
      </c>
      <c r="D50" s="19" t="s">
        <v>127</v>
      </c>
      <c r="E50" s="19" t="s">
        <v>1372</v>
      </c>
      <c r="F50" s="19" t="s">
        <v>45</v>
      </c>
      <c r="G50" s="19" t="s">
        <v>51</v>
      </c>
      <c r="H50" s="17">
        <v>2337.0</v>
      </c>
      <c r="I50" s="19" t="s">
        <v>515</v>
      </c>
      <c r="J50" s="19" t="s">
        <v>32</v>
      </c>
      <c r="K50" s="19" t="s">
        <v>45</v>
      </c>
      <c r="L50" s="17">
        <v>912.0</v>
      </c>
      <c r="M50" s="19" t="str">
        <f t="shared" si="1"/>
        <v>INC → SAD</v>
      </c>
      <c r="N50" s="19" t="str">
        <f t="shared" si="2"/>
        <v>SAD → AAP</v>
      </c>
      <c r="O50" s="22" t="str">
        <f t="shared" si="3"/>
        <v>AAP → INC</v>
      </c>
      <c r="P50" s="24" t="str">
        <f t="shared" si="4"/>
        <v>INC → SAD → AAP → INC</v>
      </c>
      <c r="Q50" s="24"/>
      <c r="R50" s="24"/>
      <c r="S50" s="24"/>
      <c r="T50" s="24"/>
      <c r="U50" s="24"/>
      <c r="V50" s="24"/>
      <c r="W50" s="24"/>
      <c r="X50" s="24"/>
    </row>
    <row r="51">
      <c r="A51" s="17">
        <v>49.0</v>
      </c>
      <c r="B51" s="19" t="s">
        <v>467</v>
      </c>
      <c r="C51" s="19" t="s">
        <v>469</v>
      </c>
      <c r="D51" s="19" t="s">
        <v>35</v>
      </c>
      <c r="E51" s="19" t="s">
        <v>1254</v>
      </c>
      <c r="F51" s="19" t="s">
        <v>45</v>
      </c>
      <c r="G51" s="19" t="s">
        <v>51</v>
      </c>
      <c r="H51" s="17">
        <v>10488.0</v>
      </c>
      <c r="I51" s="19" t="s">
        <v>521</v>
      </c>
      <c r="J51" s="19" t="s">
        <v>32</v>
      </c>
      <c r="K51" s="19" t="s">
        <v>32</v>
      </c>
      <c r="L51" s="17">
        <v>5427.0</v>
      </c>
      <c r="M51" s="19" t="str">
        <f t="shared" si="1"/>
        <v>INC → SAD</v>
      </c>
      <c r="N51" s="19" t="str">
        <f t="shared" si="2"/>
        <v>SAD → AAP</v>
      </c>
      <c r="O51" s="22" t="str">
        <f t="shared" si="3"/>
        <v>Same</v>
      </c>
      <c r="P51" s="24" t="str">
        <f t="shared" si="4"/>
        <v>INC → SAD → AAP → AAP</v>
      </c>
      <c r="Q51" s="24"/>
      <c r="R51" s="24"/>
      <c r="S51" s="24"/>
      <c r="T51" s="24"/>
      <c r="U51" s="24"/>
      <c r="V51" s="24"/>
      <c r="W51" s="24"/>
      <c r="X51" s="24"/>
    </row>
    <row r="52">
      <c r="A52" s="17">
        <v>50.0</v>
      </c>
      <c r="B52" s="19" t="s">
        <v>469</v>
      </c>
      <c r="C52" s="19" t="s">
        <v>469</v>
      </c>
      <c r="D52" s="19" t="s">
        <v>35</v>
      </c>
      <c r="E52" s="19" t="s">
        <v>1377</v>
      </c>
      <c r="F52" s="19" t="s">
        <v>32</v>
      </c>
      <c r="G52" s="19" t="s">
        <v>45</v>
      </c>
      <c r="H52" s="17">
        <v>3647.0</v>
      </c>
      <c r="I52" s="19" t="s">
        <v>525</v>
      </c>
      <c r="J52" s="19" t="s">
        <v>32</v>
      </c>
      <c r="K52" s="19" t="s">
        <v>32</v>
      </c>
      <c r="L52" s="17">
        <v>7903.0</v>
      </c>
      <c r="M52" s="19" t="str">
        <f t="shared" si="1"/>
        <v>AAP → INC</v>
      </c>
      <c r="N52" s="19" t="str">
        <f t="shared" si="2"/>
        <v>INC → AAP</v>
      </c>
      <c r="O52" s="22" t="str">
        <f t="shared" si="3"/>
        <v>Same</v>
      </c>
      <c r="P52" s="24" t="str">
        <f t="shared" si="4"/>
        <v>AAP → INC → AAP → AAP</v>
      </c>
      <c r="Q52" s="24"/>
      <c r="R52" s="24"/>
      <c r="S52" s="24"/>
      <c r="T52" s="24"/>
      <c r="U52" s="24"/>
      <c r="V52" s="24"/>
      <c r="W52" s="24"/>
      <c r="X52" s="24"/>
    </row>
    <row r="53">
      <c r="A53" s="17">
        <v>51.0</v>
      </c>
      <c r="B53" s="19" t="s">
        <v>470</v>
      </c>
      <c r="C53" s="19" t="s">
        <v>469</v>
      </c>
      <c r="D53" s="19" t="s">
        <v>35</v>
      </c>
      <c r="E53" s="19" t="s">
        <v>1257</v>
      </c>
      <c r="F53" s="19" t="s">
        <v>45</v>
      </c>
      <c r="G53" s="19" t="s">
        <v>45</v>
      </c>
      <c r="H53" s="17">
        <v>21149.0</v>
      </c>
      <c r="I53" s="19" t="s">
        <v>530</v>
      </c>
      <c r="J53" s="19" t="s">
        <v>32</v>
      </c>
      <c r="K53" s="19" t="s">
        <v>45</v>
      </c>
      <c r="L53" s="17">
        <v>17028.0</v>
      </c>
      <c r="M53" s="19" t="str">
        <f t="shared" si="1"/>
        <v>Same</v>
      </c>
      <c r="N53" s="19" t="str">
        <f t="shared" si="2"/>
        <v>INC → AAP</v>
      </c>
      <c r="O53" s="22" t="str">
        <f t="shared" si="3"/>
        <v>AAP → INC</v>
      </c>
      <c r="P53" s="24" t="str">
        <f t="shared" si="4"/>
        <v>INC → INC → AAP → INC</v>
      </c>
      <c r="Q53" s="24"/>
      <c r="R53" s="24"/>
      <c r="S53" s="24"/>
      <c r="T53" s="24"/>
      <c r="U53" s="24"/>
      <c r="V53" s="24"/>
      <c r="W53" s="24"/>
      <c r="X53" s="24"/>
    </row>
    <row r="54">
      <c r="A54" s="17">
        <v>52.0</v>
      </c>
      <c r="B54" s="19" t="s">
        <v>471</v>
      </c>
      <c r="C54" s="19" t="s">
        <v>472</v>
      </c>
      <c r="D54" s="19" t="s">
        <v>35</v>
      </c>
      <c r="E54" s="19" t="s">
        <v>1382</v>
      </c>
      <c r="F54" s="19" t="s">
        <v>32</v>
      </c>
      <c r="G54" s="19" t="s">
        <v>45</v>
      </c>
      <c r="H54" s="17">
        <v>7205.0</v>
      </c>
      <c r="I54" s="19" t="s">
        <v>535</v>
      </c>
      <c r="J54" s="19" t="s">
        <v>32</v>
      </c>
      <c r="K54" s="19" t="s">
        <v>45</v>
      </c>
      <c r="L54" s="17">
        <v>5639.0</v>
      </c>
      <c r="M54" s="19" t="str">
        <f t="shared" si="1"/>
        <v>AAP → INC</v>
      </c>
      <c r="N54" s="19" t="str">
        <f t="shared" si="2"/>
        <v>INC → AAP</v>
      </c>
      <c r="O54" s="22" t="str">
        <f t="shared" si="3"/>
        <v>AAP → INC</v>
      </c>
      <c r="P54" s="24" t="str">
        <f t="shared" si="4"/>
        <v>AAP → INC → AAP → INC</v>
      </c>
      <c r="Q54" s="24"/>
      <c r="R54" s="24"/>
      <c r="S54" s="24"/>
      <c r="T54" s="24"/>
      <c r="U54" s="24"/>
      <c r="V54" s="24"/>
      <c r="W54" s="24"/>
      <c r="X54" s="24"/>
    </row>
    <row r="55">
      <c r="A55" s="17">
        <v>53.0</v>
      </c>
      <c r="B55" s="19" t="s">
        <v>472</v>
      </c>
      <c r="C55" s="19" t="s">
        <v>472</v>
      </c>
      <c r="D55" s="19" t="s">
        <v>35</v>
      </c>
      <c r="E55" s="19" t="s">
        <v>1262</v>
      </c>
      <c r="F55" s="19" t="s">
        <v>45</v>
      </c>
      <c r="G55" s="19" t="s">
        <v>45</v>
      </c>
      <c r="H55" s="17">
        <v>12652.0</v>
      </c>
      <c r="I55" s="19" t="s">
        <v>541</v>
      </c>
      <c r="J55" s="19" t="s">
        <v>32</v>
      </c>
      <c r="K55" s="19" t="s">
        <v>45</v>
      </c>
      <c r="L55" s="17">
        <v>1093.0</v>
      </c>
      <c r="M55" s="19" t="str">
        <f t="shared" si="1"/>
        <v>Same</v>
      </c>
      <c r="N55" s="19" t="str">
        <f t="shared" si="2"/>
        <v>INC → AAP</v>
      </c>
      <c r="O55" s="22" t="str">
        <f t="shared" si="3"/>
        <v>AAP → INC</v>
      </c>
      <c r="P55" s="24" t="str">
        <f t="shared" si="4"/>
        <v>INC → INC → AAP → INC</v>
      </c>
      <c r="Q55" s="24"/>
      <c r="R55" s="24"/>
      <c r="S55" s="24"/>
      <c r="T55" s="24"/>
      <c r="U55" s="24"/>
      <c r="V55" s="24"/>
      <c r="W55" s="24"/>
      <c r="X55" s="24"/>
    </row>
    <row r="56">
      <c r="A56" s="17">
        <v>54.0</v>
      </c>
      <c r="B56" s="19" t="s">
        <v>473</v>
      </c>
      <c r="C56" s="19" t="s">
        <v>475</v>
      </c>
      <c r="D56" s="19" t="s">
        <v>35</v>
      </c>
      <c r="E56" s="19" t="s">
        <v>1264</v>
      </c>
      <c r="F56" s="19" t="s">
        <v>45</v>
      </c>
      <c r="G56" s="19" t="s">
        <v>45</v>
      </c>
      <c r="H56" s="17">
        <v>9551.0</v>
      </c>
      <c r="I56" s="19" t="s">
        <v>546</v>
      </c>
      <c r="J56" s="19" t="s">
        <v>32</v>
      </c>
      <c r="K56" s="19" t="s">
        <v>32</v>
      </c>
      <c r="L56" s="17">
        <v>558.0</v>
      </c>
      <c r="M56" s="19" t="str">
        <f t="shared" si="1"/>
        <v>Same</v>
      </c>
      <c r="N56" s="19" t="str">
        <f t="shared" si="2"/>
        <v>INC → AAP</v>
      </c>
      <c r="O56" s="22" t="str">
        <f t="shared" si="3"/>
        <v>Same</v>
      </c>
      <c r="P56" s="24" t="str">
        <f t="shared" si="4"/>
        <v>INC → INC → AAP → AAP</v>
      </c>
      <c r="Q56" s="24"/>
      <c r="R56" s="24"/>
      <c r="S56" s="24"/>
      <c r="T56" s="24"/>
      <c r="U56" s="24"/>
      <c r="V56" s="24"/>
      <c r="W56" s="24"/>
      <c r="X56" s="24"/>
    </row>
    <row r="57">
      <c r="A57" s="17">
        <v>55.0</v>
      </c>
      <c r="B57" s="19" t="s">
        <v>475</v>
      </c>
      <c r="C57" s="19" t="s">
        <v>475</v>
      </c>
      <c r="D57" s="19" t="s">
        <v>35</v>
      </c>
      <c r="E57" s="19" t="s">
        <v>1267</v>
      </c>
      <c r="F57" s="19" t="s">
        <v>45</v>
      </c>
      <c r="G57" s="19" t="s">
        <v>45</v>
      </c>
      <c r="H57" s="17">
        <v>18516.0</v>
      </c>
      <c r="I57" s="19" t="s">
        <v>550</v>
      </c>
      <c r="J57" s="19" t="s">
        <v>32</v>
      </c>
      <c r="K57" s="19" t="s">
        <v>32</v>
      </c>
      <c r="L57" s="17">
        <v>4365.0</v>
      </c>
      <c r="M57" s="19" t="str">
        <f t="shared" si="1"/>
        <v>Same</v>
      </c>
      <c r="N57" s="19" t="str">
        <f t="shared" si="2"/>
        <v>INC → AAP</v>
      </c>
      <c r="O57" s="22" t="str">
        <f t="shared" si="3"/>
        <v>Same</v>
      </c>
      <c r="P57" s="24" t="str">
        <f t="shared" si="4"/>
        <v>INC → INC → AAP → AAP</v>
      </c>
      <c r="Q57" s="24"/>
      <c r="R57" s="24"/>
      <c r="S57" s="24"/>
      <c r="T57" s="24"/>
      <c r="U57" s="24"/>
      <c r="V57" s="24"/>
      <c r="W57" s="24"/>
      <c r="X57" s="24"/>
    </row>
    <row r="58">
      <c r="A58" s="17">
        <v>56.0</v>
      </c>
      <c r="B58" s="19" t="s">
        <v>476</v>
      </c>
      <c r="C58" s="19" t="s">
        <v>475</v>
      </c>
      <c r="D58" s="19" t="s">
        <v>35</v>
      </c>
      <c r="E58" s="19" t="s">
        <v>1390</v>
      </c>
      <c r="F58" s="19" t="s">
        <v>45</v>
      </c>
      <c r="G58" s="19" t="s">
        <v>45</v>
      </c>
      <c r="H58" s="17">
        <v>11796.0</v>
      </c>
      <c r="I58" s="19" t="s">
        <v>558</v>
      </c>
      <c r="J58" s="19" t="s">
        <v>32</v>
      </c>
      <c r="K58" s="19" t="s">
        <v>45</v>
      </c>
      <c r="L58" s="17">
        <v>789.0</v>
      </c>
      <c r="M58" s="19" t="str">
        <f t="shared" si="1"/>
        <v>Same</v>
      </c>
      <c r="N58" s="19" t="str">
        <f t="shared" si="2"/>
        <v>INC → AAP</v>
      </c>
      <c r="O58" s="22" t="str">
        <f t="shared" si="3"/>
        <v>AAP → INC</v>
      </c>
      <c r="P58" s="24" t="str">
        <f t="shared" si="4"/>
        <v>INC → INC → AAP → INC</v>
      </c>
      <c r="Q58" s="24"/>
      <c r="R58" s="24"/>
      <c r="S58" s="24"/>
      <c r="T58" s="24"/>
      <c r="U58" s="24"/>
      <c r="V58" s="24"/>
      <c r="W58" s="24"/>
      <c r="X58" s="24"/>
    </row>
    <row r="59">
      <c r="A59" s="17">
        <v>57.0</v>
      </c>
      <c r="B59" s="19" t="s">
        <v>477</v>
      </c>
      <c r="C59" s="19" t="s">
        <v>519</v>
      </c>
      <c r="D59" s="19" t="s">
        <v>35</v>
      </c>
      <c r="E59" s="19" t="s">
        <v>1394</v>
      </c>
      <c r="F59" s="19" t="s">
        <v>45</v>
      </c>
      <c r="G59" s="19" t="s">
        <v>45</v>
      </c>
      <c r="H59" s="17">
        <v>7973.0</v>
      </c>
      <c r="I59" s="19" t="s">
        <v>560</v>
      </c>
      <c r="J59" s="19" t="s">
        <v>32</v>
      </c>
      <c r="K59" s="19" t="s">
        <v>32</v>
      </c>
      <c r="L59" s="17">
        <v>5124.0</v>
      </c>
      <c r="M59" s="19" t="str">
        <f t="shared" si="1"/>
        <v>Same</v>
      </c>
      <c r="N59" s="19" t="str">
        <f t="shared" si="2"/>
        <v>INC → AAP</v>
      </c>
      <c r="O59" s="22" t="str">
        <f t="shared" si="3"/>
        <v>Same</v>
      </c>
      <c r="P59" s="24" t="str">
        <f t="shared" si="4"/>
        <v>INC → INC → AAP → AAP</v>
      </c>
      <c r="Q59" s="24"/>
      <c r="R59" s="24"/>
      <c r="S59" s="24"/>
      <c r="T59" s="24"/>
      <c r="U59" s="24"/>
      <c r="V59" s="24"/>
      <c r="W59" s="24"/>
      <c r="X59" s="24"/>
    </row>
    <row r="60">
      <c r="A60" s="17">
        <v>58.0</v>
      </c>
      <c r="B60" s="19" t="s">
        <v>478</v>
      </c>
      <c r="C60" s="19" t="s">
        <v>519</v>
      </c>
      <c r="D60" s="19" t="s">
        <v>35</v>
      </c>
      <c r="E60" s="19" t="s">
        <v>1398</v>
      </c>
      <c r="F60" s="19" t="s">
        <v>45</v>
      </c>
      <c r="G60" s="19" t="s">
        <v>45</v>
      </c>
      <c r="H60" s="17">
        <v>4761.0</v>
      </c>
      <c r="I60" s="19" t="s">
        <v>561</v>
      </c>
      <c r="J60" s="19" t="s">
        <v>32</v>
      </c>
      <c r="K60" s="19" t="s">
        <v>45</v>
      </c>
      <c r="L60" s="17">
        <v>2325.0</v>
      </c>
      <c r="M60" s="19" t="str">
        <f t="shared" si="1"/>
        <v>Same</v>
      </c>
      <c r="N60" s="19" t="str">
        <f t="shared" si="2"/>
        <v>INC → AAP</v>
      </c>
      <c r="O60" s="22" t="str">
        <f t="shared" si="3"/>
        <v>AAP → INC</v>
      </c>
      <c r="P60" s="24" t="str">
        <f t="shared" si="4"/>
        <v>INC → INC → AAP → INC</v>
      </c>
      <c r="Q60" s="24"/>
      <c r="R60" s="24"/>
      <c r="S60" s="24"/>
      <c r="T60" s="24"/>
      <c r="U60" s="24"/>
      <c r="V60" s="24"/>
      <c r="W60" s="24"/>
      <c r="X60" s="24"/>
    </row>
    <row r="61">
      <c r="A61" s="17">
        <v>59.0</v>
      </c>
      <c r="B61" s="19" t="s">
        <v>320</v>
      </c>
      <c r="C61" s="19" t="s">
        <v>519</v>
      </c>
      <c r="D61" s="19" t="s">
        <v>35</v>
      </c>
      <c r="E61" s="19" t="s">
        <v>1401</v>
      </c>
      <c r="F61" s="19" t="s">
        <v>51</v>
      </c>
      <c r="G61" s="19" t="s">
        <v>51</v>
      </c>
      <c r="H61" s="17">
        <v>6226.0</v>
      </c>
      <c r="I61" s="19" t="s">
        <v>563</v>
      </c>
      <c r="J61" s="19" t="s">
        <v>32</v>
      </c>
      <c r="K61" s="19" t="s">
        <v>45</v>
      </c>
      <c r="L61" s="17">
        <v>14381.0</v>
      </c>
      <c r="M61" s="19" t="str">
        <f t="shared" si="1"/>
        <v>Same</v>
      </c>
      <c r="N61" s="19" t="str">
        <f t="shared" si="2"/>
        <v>SAD → AAP</v>
      </c>
      <c r="O61" s="22" t="str">
        <f t="shared" si="3"/>
        <v>AAP → INC</v>
      </c>
      <c r="P61" s="24" t="str">
        <f t="shared" si="4"/>
        <v>SAD → SAD → AAP → INC</v>
      </c>
      <c r="Q61" s="24"/>
      <c r="R61" s="24"/>
      <c r="S61" s="24"/>
      <c r="T61" s="24"/>
      <c r="U61" s="24"/>
      <c r="V61" s="24"/>
      <c r="W61" s="24"/>
      <c r="X61" s="24"/>
    </row>
    <row r="62">
      <c r="A62" s="17">
        <v>60.0</v>
      </c>
      <c r="B62" s="19" t="s">
        <v>479</v>
      </c>
      <c r="C62" s="19" t="s">
        <v>519</v>
      </c>
      <c r="D62" s="19" t="s">
        <v>35</v>
      </c>
      <c r="E62" s="19" t="s">
        <v>1275</v>
      </c>
      <c r="F62" s="19" t="s">
        <v>45</v>
      </c>
      <c r="G62" s="19" t="s">
        <v>45</v>
      </c>
      <c r="H62" s="17">
        <v>2042.0</v>
      </c>
      <c r="I62" s="19" t="s">
        <v>564</v>
      </c>
      <c r="J62" s="19" t="s">
        <v>32</v>
      </c>
      <c r="K62" s="19" t="s">
        <v>53</v>
      </c>
      <c r="L62" s="17">
        <v>9537.0</v>
      </c>
      <c r="M62" s="19" t="str">
        <f t="shared" si="1"/>
        <v>Same</v>
      </c>
      <c r="N62" s="19" t="str">
        <f t="shared" si="2"/>
        <v>INC → AAP</v>
      </c>
      <c r="O62" s="22" t="str">
        <f t="shared" si="3"/>
        <v>AAP → BJP</v>
      </c>
      <c r="P62" s="24" t="str">
        <f t="shared" si="4"/>
        <v>INC → INC → AAP → BJP</v>
      </c>
      <c r="Q62" s="24"/>
      <c r="R62" s="24"/>
      <c r="S62" s="24"/>
      <c r="T62" s="24"/>
      <c r="U62" s="24"/>
      <c r="V62" s="24"/>
      <c r="W62" s="24"/>
      <c r="X62" s="24"/>
    </row>
    <row r="63">
      <c r="A63" s="17">
        <v>61.0</v>
      </c>
      <c r="B63" s="19" t="s">
        <v>481</v>
      </c>
      <c r="C63" s="19" t="s">
        <v>519</v>
      </c>
      <c r="D63" s="19" t="s">
        <v>35</v>
      </c>
      <c r="E63" s="19" t="s">
        <v>1412</v>
      </c>
      <c r="F63" s="19" t="s">
        <v>1413</v>
      </c>
      <c r="G63" s="19" t="s">
        <v>1413</v>
      </c>
      <c r="H63" s="17">
        <v>9054.0</v>
      </c>
      <c r="I63" s="19" t="s">
        <v>566</v>
      </c>
      <c r="J63" s="19" t="s">
        <v>32</v>
      </c>
      <c r="K63" s="19" t="s">
        <v>53</v>
      </c>
      <c r="L63" s="17">
        <v>4396.0</v>
      </c>
      <c r="M63" s="19" t="str">
        <f t="shared" si="1"/>
        <v>Same</v>
      </c>
      <c r="N63" s="19" t="str">
        <f t="shared" si="2"/>
        <v>LIP → AAP</v>
      </c>
      <c r="O63" s="22" t="str">
        <f t="shared" si="3"/>
        <v>AAP → BJP</v>
      </c>
      <c r="P63" s="24" t="str">
        <f t="shared" si="4"/>
        <v>LIP → LIP → AAP → BJP</v>
      </c>
      <c r="Q63" s="24"/>
      <c r="R63" s="24"/>
      <c r="S63" s="24"/>
      <c r="T63" s="24"/>
      <c r="U63" s="24"/>
      <c r="V63" s="24"/>
      <c r="W63" s="24"/>
      <c r="X63" s="24"/>
    </row>
    <row r="64">
      <c r="A64" s="17">
        <v>62.0</v>
      </c>
      <c r="B64" s="19" t="s">
        <v>482</v>
      </c>
      <c r="C64" s="19" t="s">
        <v>519</v>
      </c>
      <c r="D64" s="19" t="s">
        <v>35</v>
      </c>
      <c r="E64" s="19" t="s">
        <v>1415</v>
      </c>
      <c r="F64" s="19" t="s">
        <v>1413</v>
      </c>
      <c r="G64" s="19" t="s">
        <v>1413</v>
      </c>
      <c r="H64" s="17">
        <v>6874.0</v>
      </c>
      <c r="I64" s="19" t="s">
        <v>567</v>
      </c>
      <c r="J64" s="19" t="s">
        <v>32</v>
      </c>
      <c r="K64" s="19" t="s">
        <v>45</v>
      </c>
      <c r="L64" s="17">
        <v>5096.0</v>
      </c>
      <c r="M64" s="19" t="str">
        <f t="shared" si="1"/>
        <v>Same</v>
      </c>
      <c r="N64" s="19" t="str">
        <f t="shared" si="2"/>
        <v>LIP → AAP</v>
      </c>
      <c r="O64" s="22" t="str">
        <f t="shared" si="3"/>
        <v>AAP → INC</v>
      </c>
      <c r="P64" s="24" t="str">
        <f t="shared" si="4"/>
        <v>LIP → LIP → AAP → INC</v>
      </c>
      <c r="Q64" s="24"/>
      <c r="R64" s="24"/>
      <c r="S64" s="24"/>
      <c r="T64" s="24"/>
      <c r="U64" s="24"/>
      <c r="V64" s="24"/>
      <c r="W64" s="24"/>
      <c r="X64" s="24"/>
    </row>
    <row r="65">
      <c r="A65" s="17">
        <v>63.0</v>
      </c>
      <c r="B65" s="19" t="s">
        <v>303</v>
      </c>
      <c r="C65" s="19" t="s">
        <v>519</v>
      </c>
      <c r="D65" s="19" t="s">
        <v>35</v>
      </c>
      <c r="E65" s="19" t="s">
        <v>1417</v>
      </c>
      <c r="F65" s="19" t="s">
        <v>45</v>
      </c>
      <c r="G65" s="19" t="s">
        <v>45</v>
      </c>
      <c r="H65" s="17">
        <v>2670.0</v>
      </c>
      <c r="I65" s="19" t="s">
        <v>568</v>
      </c>
      <c r="J65" s="19" t="s">
        <v>32</v>
      </c>
      <c r="K65" s="19" t="s">
        <v>53</v>
      </c>
      <c r="L65" s="17">
        <v>17295.0</v>
      </c>
      <c r="M65" s="19" t="str">
        <f t="shared" si="1"/>
        <v>Same</v>
      </c>
      <c r="N65" s="19" t="str">
        <f t="shared" si="2"/>
        <v>INC → AAP</v>
      </c>
      <c r="O65" s="22" t="str">
        <f t="shared" si="3"/>
        <v>AAP → BJP</v>
      </c>
      <c r="P65" s="24" t="str">
        <f t="shared" si="4"/>
        <v>INC → INC → AAP → BJP</v>
      </c>
      <c r="Q65" s="24"/>
      <c r="R65" s="24"/>
      <c r="S65" s="24"/>
      <c r="T65" s="24"/>
      <c r="U65" s="24"/>
      <c r="V65" s="24"/>
      <c r="W65" s="24"/>
      <c r="X65" s="24"/>
    </row>
    <row r="66">
      <c r="A66" s="17">
        <v>64.0</v>
      </c>
      <c r="B66" s="19" t="s">
        <v>220</v>
      </c>
      <c r="C66" s="19" t="s">
        <v>519</v>
      </c>
      <c r="D66" s="19" t="s">
        <v>35</v>
      </c>
      <c r="E66" s="19" t="s">
        <v>1418</v>
      </c>
      <c r="F66" s="19" t="s">
        <v>45</v>
      </c>
      <c r="G66" s="19" t="s">
        <v>45</v>
      </c>
      <c r="H66" s="17">
        <v>8330.0</v>
      </c>
      <c r="I66" s="19" t="s">
        <v>1283</v>
      </c>
      <c r="J66" s="19" t="s">
        <v>32</v>
      </c>
      <c r="K66" s="19" t="s">
        <v>53</v>
      </c>
      <c r="L66" s="17">
        <v>14535.0</v>
      </c>
      <c r="M66" s="19" t="str">
        <f t="shared" si="1"/>
        <v>Same</v>
      </c>
      <c r="N66" s="19" t="str">
        <f t="shared" si="2"/>
        <v>INC → AAP</v>
      </c>
      <c r="O66" s="22" t="str">
        <f t="shared" si="3"/>
        <v>AAP → BJP</v>
      </c>
      <c r="P66" s="24" t="str">
        <f t="shared" si="4"/>
        <v>INC → INC → AAP → BJP</v>
      </c>
      <c r="Q66" s="24"/>
      <c r="R66" s="24"/>
      <c r="S66" s="24"/>
      <c r="T66" s="24"/>
      <c r="U66" s="24"/>
      <c r="V66" s="24"/>
      <c r="W66" s="24"/>
      <c r="X66" s="24"/>
    </row>
    <row r="67">
      <c r="A67" s="17">
        <v>65.0</v>
      </c>
      <c r="B67" s="19" t="s">
        <v>483</v>
      </c>
      <c r="C67" s="19" t="s">
        <v>519</v>
      </c>
      <c r="D67" s="19" t="s">
        <v>35</v>
      </c>
      <c r="E67" s="19" t="s">
        <v>1420</v>
      </c>
      <c r="F67" s="19" t="s">
        <v>45</v>
      </c>
      <c r="G67" s="19" t="s">
        <v>45</v>
      </c>
      <c r="H67" s="17">
        <v>3541.0</v>
      </c>
      <c r="I67" s="19" t="s">
        <v>571</v>
      </c>
      <c r="J67" s="19" t="s">
        <v>32</v>
      </c>
      <c r="K67" s="19" t="s">
        <v>53</v>
      </c>
      <c r="L67" s="17">
        <v>22310.0</v>
      </c>
      <c r="M67" s="19" t="str">
        <f t="shared" si="1"/>
        <v>Same</v>
      </c>
      <c r="N67" s="19" t="str">
        <f t="shared" si="2"/>
        <v>INC → AAP</v>
      </c>
      <c r="O67" s="22" t="str">
        <f t="shared" si="3"/>
        <v>AAP → BJP</v>
      </c>
      <c r="P67" s="24" t="str">
        <f t="shared" si="4"/>
        <v>INC → INC → AAP → BJP</v>
      </c>
      <c r="Q67" s="24"/>
      <c r="R67" s="24"/>
      <c r="S67" s="24"/>
      <c r="T67" s="24"/>
      <c r="U67" s="24"/>
      <c r="V67" s="24"/>
      <c r="W67" s="24"/>
      <c r="X67" s="24"/>
    </row>
    <row r="68">
      <c r="A68" s="17">
        <v>66.0</v>
      </c>
      <c r="B68" s="19" t="s">
        <v>485</v>
      </c>
      <c r="C68" s="19" t="s">
        <v>519</v>
      </c>
      <c r="D68" s="19" t="s">
        <v>35</v>
      </c>
      <c r="E68" s="19" t="s">
        <v>1421</v>
      </c>
      <c r="F68" s="19" t="s">
        <v>45</v>
      </c>
      <c r="G68" s="19" t="s">
        <v>1413</v>
      </c>
      <c r="H68" s="17">
        <v>1758.0</v>
      </c>
      <c r="I68" s="19" t="s">
        <v>572</v>
      </c>
      <c r="J68" s="19" t="s">
        <v>32</v>
      </c>
      <c r="K68" s="19" t="s">
        <v>45</v>
      </c>
      <c r="L68" s="17">
        <v>13461.0</v>
      </c>
      <c r="M68" s="19" t="str">
        <f t="shared" si="1"/>
        <v>INC → LIP</v>
      </c>
      <c r="N68" s="19" t="str">
        <f t="shared" si="2"/>
        <v>LIP → AAP</v>
      </c>
      <c r="O68" s="22" t="str">
        <f t="shared" si="3"/>
        <v>AAP → INC</v>
      </c>
      <c r="P68" s="24" t="str">
        <f t="shared" si="4"/>
        <v>INC → LIP → AAP → INC</v>
      </c>
      <c r="Q68" s="24"/>
      <c r="R68" s="24"/>
      <c r="S68" s="24"/>
      <c r="T68" s="24"/>
      <c r="U68" s="24"/>
      <c r="V68" s="24"/>
      <c r="W68" s="24"/>
      <c r="X68" s="24"/>
    </row>
    <row r="69">
      <c r="A69" s="17">
        <v>67.0</v>
      </c>
      <c r="B69" s="19" t="s">
        <v>486</v>
      </c>
      <c r="C69" s="19" t="s">
        <v>519</v>
      </c>
      <c r="D69" s="19" t="s">
        <v>35</v>
      </c>
      <c r="E69" s="19" t="s">
        <v>1422</v>
      </c>
      <c r="F69" s="19" t="s">
        <v>45</v>
      </c>
      <c r="G69" s="19" t="s">
        <v>45</v>
      </c>
      <c r="H69" s="17">
        <v>11075.0</v>
      </c>
      <c r="I69" s="19" t="s">
        <v>574</v>
      </c>
      <c r="J69" s="19" t="s">
        <v>32</v>
      </c>
      <c r="K69" s="19" t="s">
        <v>45</v>
      </c>
      <c r="L69" s="17">
        <v>1038.0</v>
      </c>
      <c r="M69" s="19" t="str">
        <f t="shared" si="1"/>
        <v>Same</v>
      </c>
      <c r="N69" s="19" t="str">
        <f t="shared" si="2"/>
        <v>INC → AAP</v>
      </c>
      <c r="O69" s="22" t="str">
        <f t="shared" si="3"/>
        <v>AAP → INC</v>
      </c>
      <c r="P69" s="24" t="str">
        <f t="shared" si="4"/>
        <v>INC → INC → AAP → INC</v>
      </c>
      <c r="Q69" s="24"/>
      <c r="R69" s="24"/>
      <c r="S69" s="24"/>
      <c r="T69" s="24"/>
      <c r="U69" s="24"/>
      <c r="V69" s="24"/>
      <c r="W69" s="24"/>
      <c r="X69" s="24"/>
    </row>
    <row r="70">
      <c r="A70" s="17">
        <v>68.0</v>
      </c>
      <c r="B70" s="19" t="s">
        <v>34</v>
      </c>
      <c r="C70" s="19" t="s">
        <v>519</v>
      </c>
      <c r="D70" s="19" t="s">
        <v>35</v>
      </c>
      <c r="E70" s="19" t="s">
        <v>1424</v>
      </c>
      <c r="F70" s="19" t="s">
        <v>32</v>
      </c>
      <c r="G70" s="19" t="s">
        <v>1413</v>
      </c>
      <c r="H70" s="17">
        <v>1294.0</v>
      </c>
      <c r="I70" s="19" t="s">
        <v>1294</v>
      </c>
      <c r="J70" s="19" t="s">
        <v>51</v>
      </c>
      <c r="K70" s="19" t="s">
        <v>45</v>
      </c>
      <c r="L70" s="17">
        <v>11533.0</v>
      </c>
      <c r="M70" s="19" t="str">
        <f t="shared" si="1"/>
        <v>AAP → LIP</v>
      </c>
      <c r="N70" s="19" t="str">
        <f t="shared" si="2"/>
        <v>LIP → SAD</v>
      </c>
      <c r="O70" s="22" t="str">
        <f t="shared" si="3"/>
        <v>SAD → INC</v>
      </c>
      <c r="P70" s="24" t="str">
        <f t="shared" si="4"/>
        <v>AAP → LIP → SAD → INC</v>
      </c>
      <c r="Q70" s="24"/>
      <c r="R70" s="24"/>
      <c r="S70" s="24"/>
      <c r="T70" s="24"/>
      <c r="U70" s="24"/>
      <c r="V70" s="24"/>
      <c r="W70" s="24"/>
      <c r="X70" s="24"/>
    </row>
    <row r="71">
      <c r="A71" s="17">
        <v>69.0</v>
      </c>
      <c r="B71" s="19" t="s">
        <v>489</v>
      </c>
      <c r="C71" s="19" t="s">
        <v>519</v>
      </c>
      <c r="D71" s="19" t="s">
        <v>35</v>
      </c>
      <c r="E71" s="19" t="s">
        <v>1425</v>
      </c>
      <c r="F71" s="19" t="s">
        <v>32</v>
      </c>
      <c r="G71" s="19" t="s">
        <v>45</v>
      </c>
      <c r="H71" s="17">
        <v>29408.0</v>
      </c>
      <c r="I71" s="19" t="s">
        <v>577</v>
      </c>
      <c r="J71" s="19" t="s">
        <v>32</v>
      </c>
      <c r="K71" s="19" t="s">
        <v>45</v>
      </c>
      <c r="L71" s="17">
        <v>18471.0</v>
      </c>
      <c r="M71" s="19" t="str">
        <f t="shared" si="1"/>
        <v>AAP → INC</v>
      </c>
      <c r="N71" s="19" t="str">
        <f t="shared" si="2"/>
        <v>INC → AAP</v>
      </c>
      <c r="O71" s="22" t="str">
        <f t="shared" si="3"/>
        <v>AAP → INC</v>
      </c>
      <c r="P71" s="24" t="str">
        <f t="shared" si="4"/>
        <v>AAP → INC → AAP → INC</v>
      </c>
      <c r="Q71" s="24"/>
      <c r="R71" s="24"/>
      <c r="S71" s="24"/>
      <c r="T71" s="24"/>
      <c r="U71" s="24"/>
      <c r="V71" s="24"/>
      <c r="W71" s="24"/>
      <c r="X71" s="24"/>
    </row>
    <row r="72">
      <c r="A72" s="17">
        <v>70.0</v>
      </c>
      <c r="B72" s="19" t="s">
        <v>491</v>
      </c>
      <c r="C72" s="19" t="s">
        <v>519</v>
      </c>
      <c r="D72" s="19" t="s">
        <v>35</v>
      </c>
      <c r="E72" s="19" t="s">
        <v>1427</v>
      </c>
      <c r="F72" s="19" t="s">
        <v>32</v>
      </c>
      <c r="G72" s="19" t="s">
        <v>45</v>
      </c>
      <c r="H72" s="17">
        <v>9083.0</v>
      </c>
      <c r="I72" s="19" t="s">
        <v>578</v>
      </c>
      <c r="J72" s="19" t="s">
        <v>32</v>
      </c>
      <c r="K72" s="19" t="s">
        <v>45</v>
      </c>
      <c r="L72" s="17">
        <v>8989.0</v>
      </c>
      <c r="M72" s="19" t="str">
        <f t="shared" si="1"/>
        <v>AAP → INC</v>
      </c>
      <c r="N72" s="19" t="str">
        <f t="shared" si="2"/>
        <v>INC → AAP</v>
      </c>
      <c r="O72" s="22" t="str">
        <f t="shared" si="3"/>
        <v>AAP → INC</v>
      </c>
      <c r="P72" s="24" t="str">
        <f t="shared" si="4"/>
        <v>AAP → INC → AAP → INC</v>
      </c>
      <c r="Q72" s="24"/>
      <c r="R72" s="24"/>
      <c r="S72" s="24"/>
      <c r="T72" s="24"/>
      <c r="U72" s="24"/>
      <c r="V72" s="24"/>
      <c r="W72" s="24"/>
      <c r="X72" s="24"/>
    </row>
    <row r="73">
      <c r="A73" s="17">
        <v>71.0</v>
      </c>
      <c r="B73" s="19" t="s">
        <v>493</v>
      </c>
      <c r="C73" s="19" t="s">
        <v>495</v>
      </c>
      <c r="D73" s="19" t="s">
        <v>35</v>
      </c>
      <c r="E73" s="19" t="s">
        <v>1278</v>
      </c>
      <c r="F73" s="19" t="s">
        <v>32</v>
      </c>
      <c r="G73" s="19" t="s">
        <v>45</v>
      </c>
      <c r="H73" s="17">
        <v>13156.0</v>
      </c>
      <c r="I73" s="19" t="s">
        <v>579</v>
      </c>
      <c r="J73" s="19" t="s">
        <v>32</v>
      </c>
      <c r="K73" s="19" t="s">
        <v>1228</v>
      </c>
      <c r="L73" s="17">
        <v>21677.0</v>
      </c>
      <c r="M73" s="19" t="str">
        <f t="shared" si="1"/>
        <v>AAP → INC</v>
      </c>
      <c r="N73" s="19" t="str">
        <f t="shared" si="2"/>
        <v>INC → AAP</v>
      </c>
      <c r="O73" s="22" t="str">
        <f t="shared" si="3"/>
        <v>AAP → IND</v>
      </c>
      <c r="P73" s="24" t="str">
        <f t="shared" si="4"/>
        <v>AAP → INC → AAP → IND</v>
      </c>
      <c r="Q73" s="24"/>
      <c r="R73" s="24"/>
      <c r="S73" s="24"/>
      <c r="T73" s="24"/>
      <c r="U73" s="24"/>
      <c r="V73" s="24"/>
      <c r="W73" s="24"/>
      <c r="X73" s="24"/>
    </row>
    <row r="74">
      <c r="A74" s="17">
        <v>72.0</v>
      </c>
      <c r="B74" s="19" t="s">
        <v>494</v>
      </c>
      <c r="C74" s="19" t="s">
        <v>495</v>
      </c>
      <c r="D74" s="19" t="s">
        <v>35</v>
      </c>
      <c r="E74" s="19" t="s">
        <v>1430</v>
      </c>
      <c r="F74" s="19" t="s">
        <v>45</v>
      </c>
      <c r="G74" s="19" t="s">
        <v>45</v>
      </c>
      <c r="H74" s="17">
        <v>778.0</v>
      </c>
      <c r="I74" s="19" t="s">
        <v>580</v>
      </c>
      <c r="J74" s="19" t="s">
        <v>32</v>
      </c>
      <c r="K74" s="19" t="s">
        <v>1228</v>
      </c>
      <c r="L74" s="17">
        <v>11664.0</v>
      </c>
      <c r="M74" s="19" t="str">
        <f t="shared" si="1"/>
        <v>Same</v>
      </c>
      <c r="N74" s="19" t="str">
        <f t="shared" si="2"/>
        <v>INC → AAP</v>
      </c>
      <c r="O74" s="22" t="str">
        <f t="shared" si="3"/>
        <v>AAP → IND</v>
      </c>
      <c r="P74" s="24" t="str">
        <f t="shared" si="4"/>
        <v>INC → INC → AAP → IND</v>
      </c>
      <c r="Q74" s="24"/>
      <c r="R74" s="24"/>
      <c r="S74" s="24"/>
      <c r="T74" s="24"/>
      <c r="U74" s="24"/>
      <c r="V74" s="24"/>
      <c r="W74" s="24"/>
      <c r="X74" s="24"/>
    </row>
    <row r="75">
      <c r="A75" s="17">
        <v>73.0</v>
      </c>
      <c r="B75" s="19" t="s">
        <v>495</v>
      </c>
      <c r="C75" s="19" t="s">
        <v>495</v>
      </c>
      <c r="D75" s="19" t="s">
        <v>35</v>
      </c>
      <c r="E75" s="19" t="s">
        <v>1432</v>
      </c>
      <c r="F75" s="19" t="s">
        <v>45</v>
      </c>
      <c r="G75" s="19" t="s">
        <v>45</v>
      </c>
      <c r="H75" s="17">
        <v>8914.0</v>
      </c>
      <c r="I75" s="19" t="s">
        <v>582</v>
      </c>
      <c r="J75" s="19" t="s">
        <v>32</v>
      </c>
      <c r="K75" s="19" t="s">
        <v>1228</v>
      </c>
      <c r="L75" s="17">
        <v>2079.0</v>
      </c>
      <c r="M75" s="19" t="str">
        <f t="shared" si="1"/>
        <v>Same</v>
      </c>
      <c r="N75" s="19" t="str">
        <f t="shared" si="2"/>
        <v>INC → AAP</v>
      </c>
      <c r="O75" s="22" t="str">
        <f t="shared" si="3"/>
        <v>AAP → IND</v>
      </c>
      <c r="P75" s="24" t="str">
        <f t="shared" si="4"/>
        <v>INC → INC → AAP → IND</v>
      </c>
      <c r="Q75" s="24"/>
      <c r="R75" s="24"/>
      <c r="S75" s="24"/>
      <c r="T75" s="24"/>
      <c r="U75" s="24"/>
      <c r="V75" s="24"/>
      <c r="W75" s="24"/>
      <c r="X75" s="24"/>
    </row>
    <row r="76">
      <c r="A76" s="17">
        <v>74.0</v>
      </c>
      <c r="B76" s="19" t="s">
        <v>496</v>
      </c>
      <c r="C76" s="19" t="s">
        <v>495</v>
      </c>
      <c r="D76" s="19" t="s">
        <v>35</v>
      </c>
      <c r="E76" s="19" t="s">
        <v>1434</v>
      </c>
      <c r="F76" s="19" t="s">
        <v>45</v>
      </c>
      <c r="G76" s="19" t="s">
        <v>45</v>
      </c>
      <c r="H76" s="17">
        <v>9008.0</v>
      </c>
      <c r="I76" s="19" t="s">
        <v>583</v>
      </c>
      <c r="J76" s="19" t="s">
        <v>32</v>
      </c>
      <c r="K76" s="19" t="s">
        <v>1228</v>
      </c>
      <c r="L76" s="17">
        <v>561.0</v>
      </c>
      <c r="M76" s="19" t="str">
        <f t="shared" si="1"/>
        <v>Same</v>
      </c>
      <c r="N76" s="19" t="str">
        <f t="shared" si="2"/>
        <v>INC → AAP</v>
      </c>
      <c r="O76" s="22" t="str">
        <f t="shared" si="3"/>
        <v>AAP → IND</v>
      </c>
      <c r="P76" s="24" t="str">
        <f t="shared" si="4"/>
        <v>INC → INC → AAP → IND</v>
      </c>
      <c r="Q76" s="24"/>
      <c r="R76" s="24"/>
      <c r="S76" s="24"/>
      <c r="T76" s="24"/>
      <c r="U76" s="24"/>
      <c r="V76" s="24"/>
      <c r="W76" s="24"/>
      <c r="X76" s="24"/>
    </row>
    <row r="77">
      <c r="A77" s="17">
        <v>75.0</v>
      </c>
      <c r="B77" s="19" t="s">
        <v>497</v>
      </c>
      <c r="C77" s="19" t="s">
        <v>562</v>
      </c>
      <c r="D77" s="19" t="s">
        <v>35</v>
      </c>
      <c r="E77" s="19" t="s">
        <v>1436</v>
      </c>
      <c r="F77" s="19" t="s">
        <v>45</v>
      </c>
      <c r="G77" s="19" t="s">
        <v>45</v>
      </c>
      <c r="H77" s="17">
        <v>19379.0</v>
      </c>
      <c r="I77" s="19" t="s">
        <v>585</v>
      </c>
      <c r="J77" s="19" t="s">
        <v>32</v>
      </c>
      <c r="K77" s="19" t="s">
        <v>1228</v>
      </c>
      <c r="L77" s="17">
        <v>7599.0</v>
      </c>
      <c r="M77" s="19" t="str">
        <f t="shared" si="1"/>
        <v>Same</v>
      </c>
      <c r="N77" s="19" t="str">
        <f t="shared" si="2"/>
        <v>INC → AAP</v>
      </c>
      <c r="O77" s="22" t="str">
        <f t="shared" si="3"/>
        <v>AAP → IND</v>
      </c>
      <c r="P77" s="24" t="str">
        <f t="shared" si="4"/>
        <v>INC → INC → AAP → IND</v>
      </c>
      <c r="Q77" s="24"/>
      <c r="R77" s="24"/>
      <c r="S77" s="24"/>
      <c r="T77" s="24"/>
      <c r="U77" s="24"/>
      <c r="V77" s="24"/>
      <c r="W77" s="24"/>
      <c r="X77" s="24"/>
    </row>
    <row r="78">
      <c r="A78" s="17">
        <v>76.0</v>
      </c>
      <c r="B78" s="19" t="s">
        <v>499</v>
      </c>
      <c r="C78" s="19" t="s">
        <v>562</v>
      </c>
      <c r="D78" s="19" t="s">
        <v>35</v>
      </c>
      <c r="E78" s="19" t="s">
        <v>1312</v>
      </c>
      <c r="F78" s="19" t="s">
        <v>45</v>
      </c>
      <c r="G78" s="19" t="s">
        <v>51</v>
      </c>
      <c r="H78" s="17">
        <v>21046.0</v>
      </c>
      <c r="I78" s="19" t="s">
        <v>623</v>
      </c>
      <c r="J78" s="19" t="s">
        <v>32</v>
      </c>
      <c r="K78" s="19" t="s">
        <v>53</v>
      </c>
      <c r="L78" s="17">
        <v>390.0</v>
      </c>
      <c r="M78" s="19" t="str">
        <f t="shared" si="1"/>
        <v>INC → SAD</v>
      </c>
      <c r="N78" s="19" t="str">
        <f t="shared" si="2"/>
        <v>SAD → AAP</v>
      </c>
      <c r="O78" s="22" t="str">
        <f t="shared" si="3"/>
        <v>AAP → BJP</v>
      </c>
      <c r="P78" s="24" t="str">
        <f t="shared" si="4"/>
        <v>INC → SAD → AAP → BJP</v>
      </c>
      <c r="Q78" s="24"/>
      <c r="R78" s="24"/>
      <c r="S78" s="24"/>
      <c r="T78" s="24"/>
      <c r="U78" s="24"/>
      <c r="V78" s="24"/>
      <c r="W78" s="24"/>
      <c r="X78" s="24"/>
    </row>
    <row r="79">
      <c r="A79" s="17">
        <v>77.0</v>
      </c>
      <c r="B79" s="19" t="s">
        <v>501</v>
      </c>
      <c r="C79" s="19" t="s">
        <v>562</v>
      </c>
      <c r="D79" s="19" t="s">
        <v>35</v>
      </c>
      <c r="E79" s="19" t="s">
        <v>1439</v>
      </c>
      <c r="F79" s="19" t="s">
        <v>45</v>
      </c>
      <c r="G79" s="19" t="s">
        <v>51</v>
      </c>
      <c r="H79" s="17">
        <v>16542.0</v>
      </c>
      <c r="I79" s="19" t="s">
        <v>658</v>
      </c>
      <c r="J79" s="19" t="s">
        <v>32</v>
      </c>
      <c r="K79" s="19" t="s">
        <v>51</v>
      </c>
      <c r="L79" s="17">
        <v>1695.0</v>
      </c>
      <c r="M79" s="19" t="str">
        <f t="shared" si="1"/>
        <v>INC → SAD</v>
      </c>
      <c r="N79" s="19" t="str">
        <f t="shared" si="2"/>
        <v>SAD → AAP</v>
      </c>
      <c r="O79" s="22" t="str">
        <f t="shared" si="3"/>
        <v>AAP → SAD</v>
      </c>
      <c r="P79" s="24" t="str">
        <f t="shared" si="4"/>
        <v>INC → SAD → AAP → SAD</v>
      </c>
      <c r="Q79" s="24"/>
      <c r="R79" s="24"/>
      <c r="S79" s="24"/>
      <c r="T79" s="24"/>
      <c r="U79" s="24"/>
      <c r="V79" s="24"/>
      <c r="W79" s="24"/>
      <c r="X79" s="24"/>
    </row>
    <row r="80">
      <c r="A80" s="17">
        <v>78.0</v>
      </c>
      <c r="B80" s="19" t="s">
        <v>506</v>
      </c>
      <c r="C80" s="19" t="s">
        <v>562</v>
      </c>
      <c r="D80" s="19" t="s">
        <v>35</v>
      </c>
      <c r="E80" s="19" t="s">
        <v>1440</v>
      </c>
      <c r="F80" s="19" t="s">
        <v>45</v>
      </c>
      <c r="G80" s="19" t="s">
        <v>51</v>
      </c>
      <c r="H80" s="17">
        <v>7630.0</v>
      </c>
      <c r="I80" s="19" t="s">
        <v>661</v>
      </c>
      <c r="J80" s="19" t="s">
        <v>32</v>
      </c>
      <c r="K80" s="19" t="s">
        <v>51</v>
      </c>
      <c r="L80" s="17">
        <v>20069.0</v>
      </c>
      <c r="M80" s="19" t="str">
        <f t="shared" si="1"/>
        <v>INC → SAD</v>
      </c>
      <c r="N80" s="19" t="str">
        <f t="shared" si="2"/>
        <v>SAD → AAP</v>
      </c>
      <c r="O80" s="22" t="str">
        <f t="shared" si="3"/>
        <v>AAP → SAD</v>
      </c>
      <c r="P80" s="24" t="str">
        <f t="shared" si="4"/>
        <v>INC → SAD → AAP → SAD</v>
      </c>
      <c r="Q80" s="24"/>
      <c r="R80" s="24"/>
      <c r="S80" s="24"/>
      <c r="T80" s="24"/>
      <c r="U80" s="24"/>
      <c r="V80" s="24"/>
      <c r="W80" s="24"/>
      <c r="X80" s="24"/>
    </row>
    <row r="81">
      <c r="A81" s="17">
        <v>79.0</v>
      </c>
      <c r="B81" s="19" t="s">
        <v>508</v>
      </c>
      <c r="C81" s="19" t="s">
        <v>510</v>
      </c>
      <c r="D81" s="19" t="s">
        <v>35</v>
      </c>
      <c r="E81" s="19" t="s">
        <v>1320</v>
      </c>
      <c r="F81" s="19" t="s">
        <v>51</v>
      </c>
      <c r="G81" s="19" t="s">
        <v>51</v>
      </c>
      <c r="H81" s="17">
        <v>30913.0</v>
      </c>
      <c r="I81" s="19" t="s">
        <v>667</v>
      </c>
      <c r="J81" s="19" t="s">
        <v>32</v>
      </c>
      <c r="K81" s="19" t="s">
        <v>45</v>
      </c>
      <c r="L81" s="17">
        <v>930.0</v>
      </c>
      <c r="M81" s="19" t="str">
        <f t="shared" si="1"/>
        <v>Same</v>
      </c>
      <c r="N81" s="19" t="str">
        <f t="shared" si="2"/>
        <v>SAD → AAP</v>
      </c>
      <c r="O81" s="22" t="str">
        <f t="shared" si="3"/>
        <v>AAP → INC</v>
      </c>
      <c r="P81" s="24" t="str">
        <f t="shared" si="4"/>
        <v>SAD → SAD → AAP → INC</v>
      </c>
      <c r="Q81" s="24"/>
      <c r="R81" s="24"/>
      <c r="S81" s="24"/>
      <c r="T81" s="24"/>
      <c r="U81" s="24"/>
      <c r="V81" s="24"/>
      <c r="W81" s="24"/>
      <c r="X81" s="24"/>
    </row>
    <row r="82">
      <c r="A82" s="17">
        <v>80.0</v>
      </c>
      <c r="B82" s="19" t="s">
        <v>510</v>
      </c>
      <c r="C82" s="19" t="s">
        <v>510</v>
      </c>
      <c r="D82" s="19" t="s">
        <v>35</v>
      </c>
      <c r="E82" s="19" t="s">
        <v>1441</v>
      </c>
      <c r="F82" s="19" t="s">
        <v>45</v>
      </c>
      <c r="G82" s="19" t="s">
        <v>51</v>
      </c>
      <c r="H82" s="17">
        <v>29011.0</v>
      </c>
      <c r="I82" s="19" t="s">
        <v>670</v>
      </c>
      <c r="J82" s="19" t="s">
        <v>32</v>
      </c>
      <c r="K82" s="19" t="s">
        <v>45</v>
      </c>
      <c r="L82" s="17">
        <v>8656.0</v>
      </c>
      <c r="M82" s="19" t="str">
        <f t="shared" si="1"/>
        <v>INC → SAD</v>
      </c>
      <c r="N82" s="19" t="str">
        <f t="shared" si="2"/>
        <v>SAD → AAP</v>
      </c>
      <c r="O82" s="22" t="str">
        <f t="shared" si="3"/>
        <v>AAP → INC</v>
      </c>
      <c r="P82" s="24" t="str">
        <f t="shared" si="4"/>
        <v>INC → SAD → AAP → INC</v>
      </c>
      <c r="Q82" s="24"/>
      <c r="R82" s="24"/>
      <c r="S82" s="24"/>
      <c r="T82" s="24"/>
      <c r="U82" s="24"/>
      <c r="V82" s="24"/>
      <c r="W82" s="24"/>
      <c r="X82" s="24"/>
    </row>
    <row r="83">
      <c r="A83" s="17">
        <v>81.0</v>
      </c>
      <c r="B83" s="19" t="s">
        <v>270</v>
      </c>
      <c r="C83" s="19" t="s">
        <v>510</v>
      </c>
      <c r="D83" s="19" t="s">
        <v>35</v>
      </c>
      <c r="E83" s="19" t="s">
        <v>1442</v>
      </c>
      <c r="F83" s="19" t="s">
        <v>53</v>
      </c>
      <c r="G83" s="19" t="s">
        <v>51</v>
      </c>
      <c r="H83" s="17">
        <v>26429.0</v>
      </c>
      <c r="I83" s="19" t="s">
        <v>679</v>
      </c>
      <c r="J83" s="19" t="s">
        <v>45</v>
      </c>
      <c r="K83" s="19" t="s">
        <v>53</v>
      </c>
      <c r="L83" s="17">
        <v>32526.0</v>
      </c>
      <c r="M83" s="19" t="str">
        <f t="shared" si="1"/>
        <v>BJP → SAD</v>
      </c>
      <c r="N83" s="19" t="str">
        <f t="shared" si="2"/>
        <v>SAD → INC</v>
      </c>
      <c r="O83" s="22" t="str">
        <f t="shared" si="3"/>
        <v>INC → BJP</v>
      </c>
      <c r="P83" s="24" t="str">
        <f t="shared" si="4"/>
        <v>BJP → SAD → INC → BJP</v>
      </c>
      <c r="Q83" s="24"/>
      <c r="R83" s="24"/>
      <c r="S83" s="24"/>
      <c r="T83" s="24"/>
      <c r="U83" s="24"/>
      <c r="V83" s="24"/>
      <c r="W83" s="24"/>
      <c r="X83" s="24"/>
    </row>
    <row r="84">
      <c r="A84" s="17">
        <v>82.0</v>
      </c>
      <c r="B84" s="19" t="s">
        <v>512</v>
      </c>
      <c r="C84" s="19" t="s">
        <v>510</v>
      </c>
      <c r="D84" s="19" t="s">
        <v>35</v>
      </c>
      <c r="E84" s="19" t="s">
        <v>1444</v>
      </c>
      <c r="F84" s="19" t="s">
        <v>45</v>
      </c>
      <c r="G84" s="19" t="s">
        <v>51</v>
      </c>
      <c r="H84" s="17">
        <v>41620.0</v>
      </c>
      <c r="I84" s="19" t="s">
        <v>680</v>
      </c>
      <c r="J84" s="19" t="s">
        <v>32</v>
      </c>
      <c r="K84" s="19" t="s">
        <v>53</v>
      </c>
      <c r="L84" s="17">
        <v>16082.0</v>
      </c>
      <c r="M84" s="19" t="str">
        <f t="shared" si="1"/>
        <v>INC → SAD</v>
      </c>
      <c r="N84" s="19" t="str">
        <f t="shared" si="2"/>
        <v>SAD → AAP</v>
      </c>
      <c r="O84" s="22" t="str">
        <f t="shared" si="3"/>
        <v>AAP → BJP</v>
      </c>
      <c r="P84" s="24" t="str">
        <f t="shared" si="4"/>
        <v>INC → SAD → AAP → BJP</v>
      </c>
      <c r="Q84" s="24"/>
      <c r="R84" s="24"/>
      <c r="S84" s="24"/>
      <c r="T84" s="24"/>
      <c r="U84" s="24"/>
      <c r="V84" s="24"/>
      <c r="W84" s="24"/>
      <c r="X84" s="24"/>
    </row>
    <row r="85">
      <c r="A85" s="17">
        <v>83.0</v>
      </c>
      <c r="B85" s="19" t="s">
        <v>513</v>
      </c>
      <c r="C85" s="19" t="s">
        <v>569</v>
      </c>
      <c r="D85" s="19" t="s">
        <v>35</v>
      </c>
      <c r="E85" s="19" t="s">
        <v>1445</v>
      </c>
      <c r="F85" s="19" t="s">
        <v>51</v>
      </c>
      <c r="G85" s="19" t="s">
        <v>51</v>
      </c>
      <c r="H85" s="17">
        <v>16125.0</v>
      </c>
      <c r="I85" s="19" t="s">
        <v>681</v>
      </c>
      <c r="J85" s="19" t="s">
        <v>32</v>
      </c>
      <c r="K85" s="19" t="s">
        <v>51</v>
      </c>
      <c r="L85" s="17">
        <v>23264.0</v>
      </c>
      <c r="M85" s="19" t="str">
        <f t="shared" si="1"/>
        <v>Same</v>
      </c>
      <c r="N85" s="19" t="str">
        <f t="shared" si="2"/>
        <v>SAD → AAP</v>
      </c>
      <c r="O85" s="22" t="str">
        <f t="shared" si="3"/>
        <v>AAP → SAD</v>
      </c>
      <c r="P85" s="24" t="str">
        <f t="shared" si="4"/>
        <v>SAD → SAD → AAP → SAD</v>
      </c>
      <c r="Q85" s="24"/>
      <c r="R85" s="24"/>
      <c r="S85" s="24"/>
      <c r="T85" s="24"/>
      <c r="U85" s="24"/>
      <c r="V85" s="24"/>
      <c r="W85" s="24"/>
      <c r="X85" s="24"/>
    </row>
    <row r="86">
      <c r="A86" s="17">
        <v>84.0</v>
      </c>
      <c r="B86" s="19" t="s">
        <v>148</v>
      </c>
      <c r="C86" s="19" t="s">
        <v>569</v>
      </c>
      <c r="D86" s="19" t="s">
        <v>35</v>
      </c>
      <c r="E86" s="19" t="s">
        <v>1446</v>
      </c>
      <c r="F86" s="19" t="s">
        <v>45</v>
      </c>
      <c r="G86" s="19" t="s">
        <v>51</v>
      </c>
      <c r="H86" s="17">
        <v>2786.0</v>
      </c>
      <c r="I86" s="19" t="s">
        <v>1331</v>
      </c>
      <c r="J86" s="19" t="s">
        <v>45</v>
      </c>
      <c r="K86" s="19" t="s">
        <v>1228</v>
      </c>
      <c r="L86" s="17">
        <v>12113.0</v>
      </c>
      <c r="M86" s="19" t="str">
        <f t="shared" si="1"/>
        <v>INC → SAD</v>
      </c>
      <c r="N86" s="19" t="str">
        <f t="shared" si="2"/>
        <v>SAD → INC</v>
      </c>
      <c r="O86" s="22" t="str">
        <f t="shared" si="3"/>
        <v>INC → IND</v>
      </c>
      <c r="P86" s="24" t="str">
        <f t="shared" si="4"/>
        <v>INC → SAD → INC → IND</v>
      </c>
      <c r="Q86" s="24"/>
      <c r="R86" s="24"/>
      <c r="S86" s="24"/>
      <c r="T86" s="24"/>
      <c r="U86" s="24"/>
      <c r="V86" s="24"/>
      <c r="W86" s="24"/>
      <c r="X86" s="24"/>
    </row>
    <row r="87">
      <c r="A87" s="17">
        <v>85.0</v>
      </c>
      <c r="B87" s="19" t="s">
        <v>514</v>
      </c>
      <c r="C87" s="19" t="s">
        <v>569</v>
      </c>
      <c r="D87" s="19" t="s">
        <v>35</v>
      </c>
      <c r="E87" s="19" t="s">
        <v>1448</v>
      </c>
      <c r="F87" s="19" t="s">
        <v>45</v>
      </c>
      <c r="G87" s="19" t="s">
        <v>51</v>
      </c>
      <c r="H87" s="17">
        <v>16668.0</v>
      </c>
      <c r="I87" s="19" t="s">
        <v>683</v>
      </c>
      <c r="J87" s="19" t="s">
        <v>32</v>
      </c>
      <c r="K87" s="19" t="s">
        <v>51</v>
      </c>
      <c r="L87" s="17">
        <v>839.0</v>
      </c>
      <c r="M87" s="19" t="str">
        <f t="shared" si="1"/>
        <v>INC → SAD</v>
      </c>
      <c r="N87" s="19" t="str">
        <f t="shared" si="2"/>
        <v>SAD → AAP</v>
      </c>
      <c r="O87" s="22" t="str">
        <f t="shared" si="3"/>
        <v>AAP → SAD</v>
      </c>
      <c r="P87" s="24" t="str">
        <f t="shared" si="4"/>
        <v>INC → SAD → AAP → SAD</v>
      </c>
      <c r="Q87" s="24"/>
      <c r="R87" s="24"/>
      <c r="S87" s="24"/>
      <c r="T87" s="24"/>
      <c r="U87" s="24"/>
      <c r="V87" s="24"/>
      <c r="W87" s="24"/>
      <c r="X87" s="24"/>
    </row>
    <row r="88">
      <c r="A88" s="17">
        <v>86.0</v>
      </c>
      <c r="B88" s="19" t="s">
        <v>516</v>
      </c>
      <c r="C88" s="19" t="s">
        <v>569</v>
      </c>
      <c r="D88" s="19" t="s">
        <v>35</v>
      </c>
      <c r="E88" s="19" t="s">
        <v>1337</v>
      </c>
      <c r="F88" s="19" t="s">
        <v>51</v>
      </c>
      <c r="G88" s="19" t="s">
        <v>51</v>
      </c>
      <c r="H88" s="17">
        <v>8277.0</v>
      </c>
      <c r="I88" s="19" t="s">
        <v>685</v>
      </c>
      <c r="J88" s="19" t="s">
        <v>32</v>
      </c>
      <c r="K88" s="19" t="s">
        <v>32</v>
      </c>
      <c r="L88" s="17">
        <v>5760.0</v>
      </c>
      <c r="M88" s="19" t="str">
        <f t="shared" si="1"/>
        <v>Same</v>
      </c>
      <c r="N88" s="19" t="str">
        <f t="shared" si="2"/>
        <v>SAD → AAP</v>
      </c>
      <c r="O88" s="22" t="str">
        <f t="shared" si="3"/>
        <v>Same</v>
      </c>
      <c r="P88" s="24" t="str">
        <f t="shared" si="4"/>
        <v>SAD → SAD → AAP → AAP</v>
      </c>
      <c r="Q88" s="24"/>
      <c r="R88" s="24"/>
      <c r="S88" s="24"/>
      <c r="T88" s="24"/>
      <c r="U88" s="24"/>
      <c r="V88" s="24"/>
      <c r="W88" s="24"/>
      <c r="X88" s="24"/>
    </row>
    <row r="89">
      <c r="A89" s="17">
        <v>87.0</v>
      </c>
      <c r="B89" s="19" t="s">
        <v>517</v>
      </c>
      <c r="C89" s="19" t="s">
        <v>517</v>
      </c>
      <c r="D89" s="19" t="s">
        <v>35</v>
      </c>
      <c r="E89" s="19" t="s">
        <v>1451</v>
      </c>
      <c r="F89" s="19" t="s">
        <v>45</v>
      </c>
      <c r="G89" s="19" t="s">
        <v>45</v>
      </c>
      <c r="H89" s="17">
        <v>11838.0</v>
      </c>
      <c r="I89" s="19" t="s">
        <v>753</v>
      </c>
      <c r="J89" s="19" t="s">
        <v>32</v>
      </c>
      <c r="K89" s="19" t="s">
        <v>32</v>
      </c>
      <c r="L89" s="17">
        <v>746.0</v>
      </c>
      <c r="M89" s="19" t="str">
        <f t="shared" si="1"/>
        <v>Same</v>
      </c>
      <c r="N89" s="19" t="str">
        <f t="shared" si="2"/>
        <v>INC → AAP</v>
      </c>
      <c r="O89" s="22" t="str">
        <f t="shared" si="3"/>
        <v>Same</v>
      </c>
      <c r="P89" s="24" t="str">
        <f t="shared" si="4"/>
        <v>INC → INC → AAP → AAP</v>
      </c>
      <c r="Q89" s="24"/>
      <c r="R89" s="24"/>
      <c r="S89" s="24"/>
      <c r="T89" s="24"/>
      <c r="U89" s="24"/>
      <c r="V89" s="24"/>
      <c r="W89" s="24"/>
      <c r="X89" s="24"/>
    </row>
    <row r="90">
      <c r="A90" s="17">
        <v>88.0</v>
      </c>
      <c r="B90" s="19" t="s">
        <v>518</v>
      </c>
      <c r="C90" s="19" t="s">
        <v>517</v>
      </c>
      <c r="D90" s="19" t="s">
        <v>35</v>
      </c>
      <c r="E90" s="19" t="s">
        <v>756</v>
      </c>
      <c r="F90" s="19" t="s">
        <v>32</v>
      </c>
      <c r="G90" s="19" t="s">
        <v>45</v>
      </c>
      <c r="H90" s="17">
        <v>14907.0</v>
      </c>
      <c r="I90" s="19" t="s">
        <v>756</v>
      </c>
      <c r="J90" s="19" t="s">
        <v>32</v>
      </c>
      <c r="K90" s="19" t="s">
        <v>32</v>
      </c>
      <c r="L90" s="17">
        <v>2477.0</v>
      </c>
      <c r="M90" s="19" t="str">
        <f t="shared" si="1"/>
        <v>AAP → INC</v>
      </c>
      <c r="N90" s="19" t="str">
        <f t="shared" si="2"/>
        <v>INC → AAP</v>
      </c>
      <c r="O90" s="22" t="str">
        <f t="shared" si="3"/>
        <v>Same</v>
      </c>
      <c r="P90" s="24" t="str">
        <f t="shared" si="4"/>
        <v>AAP → INC → AAP → AAP</v>
      </c>
      <c r="Q90" s="24"/>
      <c r="R90" s="24"/>
      <c r="S90" s="24"/>
      <c r="T90" s="24"/>
      <c r="U90" s="24"/>
      <c r="V90" s="24"/>
      <c r="W90" s="24"/>
      <c r="X90" s="24"/>
    </row>
    <row r="91">
      <c r="A91" s="17">
        <v>89.0</v>
      </c>
      <c r="B91" s="19" t="s">
        <v>520</v>
      </c>
      <c r="C91" s="19" t="s">
        <v>517</v>
      </c>
      <c r="D91" s="19" t="s">
        <v>35</v>
      </c>
      <c r="E91" s="19" t="s">
        <v>1453</v>
      </c>
      <c r="F91" s="19" t="s">
        <v>32</v>
      </c>
      <c r="G91" s="19" t="s">
        <v>45</v>
      </c>
      <c r="H91" s="17">
        <v>18003.0</v>
      </c>
      <c r="I91" s="19" t="s">
        <v>758</v>
      </c>
      <c r="J91" s="19" t="s">
        <v>32</v>
      </c>
      <c r="K91" s="19" t="s">
        <v>1228</v>
      </c>
      <c r="L91" s="17">
        <v>7309.0</v>
      </c>
      <c r="M91" s="19" t="str">
        <f t="shared" si="1"/>
        <v>AAP → INC</v>
      </c>
      <c r="N91" s="19" t="str">
        <f t="shared" si="2"/>
        <v>INC → AAP</v>
      </c>
      <c r="O91" s="22" t="str">
        <f t="shared" si="3"/>
        <v>AAP → IND</v>
      </c>
      <c r="P91" s="24" t="str">
        <f t="shared" si="4"/>
        <v>AAP → INC → AAP → IND</v>
      </c>
      <c r="Q91" s="24"/>
      <c r="R91" s="24"/>
      <c r="S91" s="24"/>
      <c r="T91" s="24"/>
      <c r="U91" s="24"/>
      <c r="V91" s="24"/>
      <c r="W91" s="24"/>
      <c r="X91" s="24"/>
    </row>
    <row r="92">
      <c r="A92" s="17">
        <v>90.0</v>
      </c>
      <c r="B92" s="19" t="s">
        <v>522</v>
      </c>
      <c r="C92" s="19" t="s">
        <v>573</v>
      </c>
      <c r="D92" s="19" t="s">
        <v>35</v>
      </c>
      <c r="E92" s="19" t="s">
        <v>1455</v>
      </c>
      <c r="F92" s="19" t="s">
        <v>45</v>
      </c>
      <c r="G92" s="19" t="s">
        <v>45</v>
      </c>
      <c r="H92" s="17">
        <v>9444.0</v>
      </c>
      <c r="I92" s="19" t="s">
        <v>759</v>
      </c>
      <c r="J92" s="19" t="s">
        <v>32</v>
      </c>
      <c r="K92" s="19" t="s">
        <v>1228</v>
      </c>
      <c r="L92" s="17">
        <v>18066.0</v>
      </c>
      <c r="M92" s="19" t="str">
        <f t="shared" si="1"/>
        <v>Same</v>
      </c>
      <c r="N92" s="19" t="str">
        <f t="shared" si="2"/>
        <v>INC → AAP</v>
      </c>
      <c r="O92" s="22" t="str">
        <f t="shared" si="3"/>
        <v>AAP → IND</v>
      </c>
      <c r="P92" s="24" t="str">
        <f t="shared" si="4"/>
        <v>INC → INC → AAP → IND</v>
      </c>
      <c r="Q92" s="24"/>
      <c r="R92" s="24"/>
      <c r="S92" s="24"/>
      <c r="T92" s="24"/>
      <c r="U92" s="24"/>
      <c r="V92" s="24"/>
      <c r="W92" s="24"/>
      <c r="X92" s="24"/>
    </row>
    <row r="93">
      <c r="A93" s="17">
        <v>91.0</v>
      </c>
      <c r="B93" s="19" t="s">
        <v>523</v>
      </c>
      <c r="C93" s="19" t="s">
        <v>573</v>
      </c>
      <c r="D93" s="19" t="s">
        <v>35</v>
      </c>
      <c r="E93" s="19" t="s">
        <v>1456</v>
      </c>
      <c r="F93" s="19" t="s">
        <v>45</v>
      </c>
      <c r="G93" s="19" t="s">
        <v>51</v>
      </c>
      <c r="H93" s="17">
        <v>8119.0</v>
      </c>
      <c r="I93" s="19" t="s">
        <v>760</v>
      </c>
      <c r="J93" s="19" t="s">
        <v>32</v>
      </c>
      <c r="K93" s="19" t="s">
        <v>51</v>
      </c>
      <c r="L93" s="17">
        <v>14739.0</v>
      </c>
      <c r="M93" s="19" t="str">
        <f t="shared" si="1"/>
        <v>INC → SAD</v>
      </c>
      <c r="N93" s="19" t="str">
        <f t="shared" si="2"/>
        <v>SAD → AAP</v>
      </c>
      <c r="O93" s="22" t="str">
        <f t="shared" si="3"/>
        <v>AAP → SAD</v>
      </c>
      <c r="P93" s="24" t="str">
        <f t="shared" si="4"/>
        <v>INC → SAD → AAP → SAD</v>
      </c>
      <c r="Q93" s="24"/>
      <c r="R93" s="24"/>
      <c r="S93" s="24"/>
      <c r="T93" s="24"/>
      <c r="U93" s="24"/>
      <c r="V93" s="24"/>
      <c r="W93" s="24"/>
      <c r="X93" s="24"/>
    </row>
    <row r="94">
      <c r="A94" s="17">
        <v>92.0</v>
      </c>
      <c r="B94" s="19" t="s">
        <v>524</v>
      </c>
      <c r="C94" s="19" t="s">
        <v>573</v>
      </c>
      <c r="D94" s="19" t="s">
        <v>35</v>
      </c>
      <c r="E94" s="19" t="s">
        <v>1349</v>
      </c>
      <c r="F94" s="19" t="s">
        <v>45</v>
      </c>
      <c r="G94" s="19" t="s">
        <v>51</v>
      </c>
      <c r="H94" s="17">
        <v>3743.0</v>
      </c>
      <c r="I94" s="19" t="s">
        <v>795</v>
      </c>
      <c r="J94" s="19" t="s">
        <v>32</v>
      </c>
      <c r="K94" s="19" t="s">
        <v>53</v>
      </c>
      <c r="L94" s="17">
        <v>518.0</v>
      </c>
      <c r="M94" s="19" t="str">
        <f t="shared" si="1"/>
        <v>INC → SAD</v>
      </c>
      <c r="N94" s="19" t="str">
        <f t="shared" si="2"/>
        <v>SAD → AAP</v>
      </c>
      <c r="O94" s="22" t="str">
        <f t="shared" si="3"/>
        <v>AAP → BJP</v>
      </c>
      <c r="P94" s="24" t="str">
        <f t="shared" si="4"/>
        <v>INC → SAD → AAP → BJP</v>
      </c>
      <c r="Q94" s="24"/>
      <c r="R94" s="24"/>
      <c r="S94" s="24"/>
      <c r="T94" s="24"/>
      <c r="U94" s="24"/>
      <c r="V94" s="24"/>
      <c r="W94" s="24"/>
      <c r="X94" s="24"/>
    </row>
    <row r="95">
      <c r="A95" s="17">
        <v>93.0</v>
      </c>
      <c r="B95" s="19" t="s">
        <v>526</v>
      </c>
      <c r="C95" s="19" t="s">
        <v>573</v>
      </c>
      <c r="D95" s="19" t="s">
        <v>35</v>
      </c>
      <c r="E95" s="19" t="s">
        <v>1458</v>
      </c>
      <c r="F95" s="19" t="s">
        <v>32</v>
      </c>
      <c r="G95" s="19" t="s">
        <v>51</v>
      </c>
      <c r="H95" s="17">
        <v>2586.0</v>
      </c>
      <c r="I95" s="19" t="s">
        <v>845</v>
      </c>
      <c r="J95" s="19" t="s">
        <v>32</v>
      </c>
      <c r="K95" s="19" t="s">
        <v>51</v>
      </c>
      <c r="L95" s="17">
        <v>10875.0</v>
      </c>
      <c r="M95" s="19" t="str">
        <f t="shared" si="1"/>
        <v>AAP → SAD</v>
      </c>
      <c r="N95" s="19" t="str">
        <f t="shared" si="2"/>
        <v>SAD → AAP</v>
      </c>
      <c r="O95" s="22" t="str">
        <f t="shared" si="3"/>
        <v>AAP → SAD</v>
      </c>
      <c r="P95" s="24" t="str">
        <f t="shared" si="4"/>
        <v>AAP → SAD → AAP → SAD</v>
      </c>
      <c r="Q95" s="24"/>
      <c r="R95" s="24"/>
      <c r="S95" s="24"/>
      <c r="T95" s="24"/>
      <c r="U95" s="24"/>
      <c r="V95" s="24"/>
      <c r="W95" s="24"/>
      <c r="X95" s="24"/>
    </row>
    <row r="96">
      <c r="A96" s="17">
        <v>94.0</v>
      </c>
      <c r="B96" s="19" t="s">
        <v>527</v>
      </c>
      <c r="C96" s="19" t="s">
        <v>573</v>
      </c>
      <c r="D96" s="19" t="s">
        <v>35</v>
      </c>
      <c r="E96" s="19" t="s">
        <v>924</v>
      </c>
      <c r="F96" s="19" t="s">
        <v>32</v>
      </c>
      <c r="G96" s="19" t="s">
        <v>45</v>
      </c>
      <c r="H96" s="17">
        <v>5961.0</v>
      </c>
      <c r="I96" s="19" t="s">
        <v>924</v>
      </c>
      <c r="J96" s="19" t="s">
        <v>32</v>
      </c>
      <c r="K96" s="19" t="s">
        <v>51</v>
      </c>
      <c r="L96" s="17">
        <v>3283.0</v>
      </c>
      <c r="M96" s="19" t="str">
        <f t="shared" si="1"/>
        <v>AAP → INC</v>
      </c>
      <c r="N96" s="19" t="str">
        <f t="shared" si="2"/>
        <v>INC → AAP</v>
      </c>
      <c r="O96" s="22" t="str">
        <f t="shared" si="3"/>
        <v>AAP → SAD</v>
      </c>
      <c r="P96" s="24" t="str">
        <f t="shared" si="4"/>
        <v>AAP → INC → AAP → SAD</v>
      </c>
      <c r="Q96" s="24"/>
      <c r="R96" s="24"/>
      <c r="S96" s="24"/>
      <c r="T96" s="24"/>
      <c r="U96" s="24"/>
      <c r="V96" s="24"/>
      <c r="W96" s="24"/>
      <c r="X96" s="24"/>
    </row>
    <row r="97">
      <c r="A97" s="17">
        <v>95.0</v>
      </c>
      <c r="B97" s="19" t="s">
        <v>528</v>
      </c>
      <c r="C97" s="19" t="s">
        <v>573</v>
      </c>
      <c r="D97" s="19" t="s">
        <v>35</v>
      </c>
      <c r="E97" s="19" t="s">
        <v>1461</v>
      </c>
      <c r="F97" s="19" t="s">
        <v>32</v>
      </c>
      <c r="G97" s="19" t="s">
        <v>45</v>
      </c>
      <c r="H97" s="17">
        <v>5653.0</v>
      </c>
      <c r="I97" s="19" t="s">
        <v>998</v>
      </c>
      <c r="J97" s="19" t="s">
        <v>32</v>
      </c>
      <c r="K97" s="19" t="s">
        <v>32</v>
      </c>
      <c r="L97" s="17">
        <v>252.0</v>
      </c>
      <c r="M97" s="19" t="str">
        <f t="shared" si="1"/>
        <v>AAP → INC</v>
      </c>
      <c r="N97" s="19" t="str">
        <f t="shared" si="2"/>
        <v>INC → AAP</v>
      </c>
      <c r="O97" s="22" t="str">
        <f t="shared" si="3"/>
        <v>Same</v>
      </c>
      <c r="P97" s="24" t="str">
        <f t="shared" si="4"/>
        <v>AAP → INC → AAP → AAP</v>
      </c>
      <c r="Q97" s="24"/>
      <c r="R97" s="24"/>
      <c r="S97" s="24"/>
      <c r="T97" s="24"/>
      <c r="U97" s="24"/>
      <c r="V97" s="24"/>
      <c r="W97" s="24"/>
      <c r="X97" s="24"/>
    </row>
    <row r="98">
      <c r="A98" s="17">
        <v>96.0</v>
      </c>
      <c r="B98" s="19" t="s">
        <v>529</v>
      </c>
      <c r="C98" s="19" t="s">
        <v>529</v>
      </c>
      <c r="D98" s="19" t="s">
        <v>35</v>
      </c>
      <c r="E98" s="19" t="s">
        <v>1462</v>
      </c>
      <c r="F98" s="19" t="s">
        <v>32</v>
      </c>
      <c r="G98" s="19" t="s">
        <v>45</v>
      </c>
      <c r="H98" s="17">
        <v>2926.0</v>
      </c>
      <c r="I98" s="19" t="s">
        <v>1076</v>
      </c>
      <c r="J98" s="19" t="s">
        <v>32</v>
      </c>
      <c r="K98" s="19" t="s">
        <v>32</v>
      </c>
      <c r="L98" s="17">
        <v>6946.0</v>
      </c>
      <c r="M98" s="19" t="str">
        <f t="shared" si="1"/>
        <v>AAP → INC</v>
      </c>
      <c r="N98" s="19" t="str">
        <f t="shared" si="2"/>
        <v>INC → AAP</v>
      </c>
      <c r="O98" s="22" t="str">
        <f t="shared" si="3"/>
        <v>Same</v>
      </c>
      <c r="P98" s="24" t="str">
        <f t="shared" si="4"/>
        <v>AAP → INC → AAP → AAP</v>
      </c>
      <c r="Q98" s="24"/>
      <c r="R98" s="24"/>
      <c r="S98" s="24"/>
      <c r="T98" s="24"/>
      <c r="U98" s="24"/>
      <c r="V98" s="24"/>
      <c r="W98" s="24"/>
      <c r="X98" s="24"/>
    </row>
    <row r="99">
      <c r="A99" s="17">
        <v>97.0</v>
      </c>
      <c r="B99" s="19" t="s">
        <v>531</v>
      </c>
      <c r="C99" s="19" t="s">
        <v>529</v>
      </c>
      <c r="D99" s="19" t="s">
        <v>35</v>
      </c>
      <c r="E99" s="19" t="s">
        <v>1464</v>
      </c>
      <c r="F99" s="19" t="s">
        <v>51</v>
      </c>
      <c r="G99" s="19" t="s">
        <v>45</v>
      </c>
      <c r="H99" s="17">
        <v>3158.0</v>
      </c>
      <c r="I99" s="19" t="s">
        <v>1115</v>
      </c>
      <c r="J99" s="19" t="s">
        <v>32</v>
      </c>
      <c r="K99" s="19" t="s">
        <v>32</v>
      </c>
      <c r="L99" s="17">
        <v>5136.0</v>
      </c>
      <c r="M99" s="19" t="str">
        <f t="shared" si="1"/>
        <v>SAD → INC</v>
      </c>
      <c r="N99" s="19" t="str">
        <f t="shared" si="2"/>
        <v>INC → AAP</v>
      </c>
      <c r="O99" s="22" t="str">
        <f t="shared" si="3"/>
        <v>Same</v>
      </c>
      <c r="P99" s="24" t="str">
        <f t="shared" si="4"/>
        <v>SAD → INC → AAP → AAP</v>
      </c>
      <c r="Q99" s="24"/>
      <c r="R99" s="24"/>
      <c r="S99" s="24"/>
      <c r="T99" s="24"/>
      <c r="U99" s="24"/>
      <c r="V99" s="24"/>
      <c r="W99" s="24"/>
      <c r="X99" s="24"/>
    </row>
    <row r="100">
      <c r="A100" s="17">
        <v>98.0</v>
      </c>
      <c r="B100" s="19" t="s">
        <v>532</v>
      </c>
      <c r="C100" s="19" t="s">
        <v>529</v>
      </c>
      <c r="D100" s="19" t="s">
        <v>35</v>
      </c>
      <c r="E100" s="19" t="s">
        <v>1150</v>
      </c>
      <c r="F100" s="19" t="s">
        <v>32</v>
      </c>
      <c r="G100" s="19" t="s">
        <v>51</v>
      </c>
      <c r="H100" s="17">
        <v>8524.0</v>
      </c>
      <c r="I100" s="19" t="s">
        <v>1150</v>
      </c>
      <c r="J100" s="19" t="s">
        <v>32</v>
      </c>
      <c r="K100" s="19" t="s">
        <v>51</v>
      </c>
      <c r="L100" s="17">
        <v>7184.0</v>
      </c>
      <c r="M100" s="19" t="str">
        <f t="shared" si="1"/>
        <v>AAP → SAD</v>
      </c>
      <c r="N100" s="19" t="str">
        <f t="shared" si="2"/>
        <v>SAD → AAP</v>
      </c>
      <c r="O100" s="22" t="str">
        <f t="shared" si="3"/>
        <v>AAP → SAD</v>
      </c>
      <c r="P100" s="24" t="str">
        <f t="shared" si="4"/>
        <v>AAP → SAD → AAP → SAD</v>
      </c>
      <c r="Q100" s="24"/>
      <c r="R100" s="24"/>
      <c r="S100" s="24"/>
      <c r="T100" s="24"/>
      <c r="U100" s="24"/>
      <c r="V100" s="24"/>
      <c r="W100" s="24"/>
      <c r="X100" s="24"/>
    </row>
    <row r="101">
      <c r="A101" s="17">
        <v>99.0</v>
      </c>
      <c r="B101" s="19" t="s">
        <v>533</v>
      </c>
      <c r="C101" s="19" t="s">
        <v>545</v>
      </c>
      <c r="D101" s="19" t="s">
        <v>35</v>
      </c>
      <c r="E101" s="19" t="s">
        <v>1364</v>
      </c>
      <c r="F101" s="19" t="s">
        <v>51</v>
      </c>
      <c r="G101" s="19" t="s">
        <v>51</v>
      </c>
      <c r="H101" s="17">
        <v>8929.0</v>
      </c>
      <c r="I101" s="19" t="s">
        <v>1164</v>
      </c>
      <c r="J101" s="19" t="s">
        <v>32</v>
      </c>
      <c r="K101" s="19" t="s">
        <v>32</v>
      </c>
      <c r="L101" s="17">
        <v>18683.0</v>
      </c>
      <c r="M101" s="19" t="str">
        <f t="shared" si="1"/>
        <v>Same</v>
      </c>
      <c r="N101" s="19" t="str">
        <f t="shared" si="2"/>
        <v>SAD → AAP</v>
      </c>
      <c r="O101" s="22" t="str">
        <f t="shared" si="3"/>
        <v>Same</v>
      </c>
      <c r="P101" s="24" t="str">
        <f t="shared" si="4"/>
        <v>SAD → SAD → AAP → AAP</v>
      </c>
      <c r="Q101" s="24"/>
      <c r="R101" s="24"/>
      <c r="S101" s="24"/>
      <c r="T101" s="24"/>
      <c r="U101" s="24"/>
      <c r="V101" s="24"/>
      <c r="W101" s="24"/>
      <c r="X101" s="24"/>
    </row>
    <row r="102">
      <c r="A102" s="17">
        <v>100.0</v>
      </c>
      <c r="B102" s="19" t="s">
        <v>534</v>
      </c>
      <c r="C102" s="19" t="s">
        <v>545</v>
      </c>
      <c r="D102" s="19" t="s">
        <v>35</v>
      </c>
      <c r="E102" s="19" t="s">
        <v>1165</v>
      </c>
      <c r="F102" s="19" t="s">
        <v>32</v>
      </c>
      <c r="G102" s="19" t="s">
        <v>32</v>
      </c>
      <c r="H102" s="17">
        <v>29056.0</v>
      </c>
      <c r="I102" s="19" t="s">
        <v>1165</v>
      </c>
      <c r="J102" s="19" t="s">
        <v>32</v>
      </c>
      <c r="K102" s="19" t="s">
        <v>32</v>
      </c>
      <c r="L102" s="17">
        <v>22513.0</v>
      </c>
      <c r="M102" s="19" t="str">
        <f t="shared" si="1"/>
        <v>Same</v>
      </c>
      <c r="N102" s="19" t="str">
        <f t="shared" si="2"/>
        <v>Same</v>
      </c>
      <c r="O102" s="22" t="str">
        <f t="shared" si="3"/>
        <v>Same</v>
      </c>
      <c r="P102" s="24" t="str">
        <f t="shared" si="4"/>
        <v>AAP → AAP → AAP → AAP</v>
      </c>
      <c r="Q102" s="24"/>
      <c r="R102" s="24"/>
      <c r="S102" s="24"/>
      <c r="T102" s="24"/>
      <c r="U102" s="24"/>
      <c r="V102" s="24"/>
      <c r="W102" s="24"/>
      <c r="X102" s="24"/>
    </row>
    <row r="103">
      <c r="A103" s="17">
        <v>101.0</v>
      </c>
      <c r="B103" s="19" t="s">
        <v>536</v>
      </c>
      <c r="C103" s="19" t="s">
        <v>545</v>
      </c>
      <c r="D103" s="19" t="s">
        <v>35</v>
      </c>
      <c r="E103" s="19" t="s">
        <v>1166</v>
      </c>
      <c r="F103" s="19" t="s">
        <v>32</v>
      </c>
      <c r="G103" s="19" t="s">
        <v>32</v>
      </c>
      <c r="H103" s="17">
        <v>19776.0</v>
      </c>
      <c r="I103" s="19" t="s">
        <v>1166</v>
      </c>
      <c r="J103" s="19" t="s">
        <v>32</v>
      </c>
      <c r="K103" s="19" t="s">
        <v>32</v>
      </c>
      <c r="L103" s="17">
        <v>26543.0</v>
      </c>
      <c r="M103" s="19" t="str">
        <f t="shared" si="1"/>
        <v>Same</v>
      </c>
      <c r="N103" s="19" t="str">
        <f t="shared" si="2"/>
        <v>Same</v>
      </c>
      <c r="O103" s="22" t="str">
        <f t="shared" si="3"/>
        <v>Same</v>
      </c>
      <c r="P103" s="24" t="str">
        <f t="shared" si="4"/>
        <v>AAP → AAP → AAP → AAP</v>
      </c>
      <c r="Q103" s="24"/>
      <c r="R103" s="24"/>
      <c r="S103" s="24"/>
      <c r="T103" s="24"/>
      <c r="U103" s="24"/>
      <c r="V103" s="24"/>
      <c r="W103" s="24"/>
      <c r="X103" s="24"/>
    </row>
    <row r="104">
      <c r="A104" s="17">
        <v>102.0</v>
      </c>
      <c r="B104" s="19" t="s">
        <v>537</v>
      </c>
      <c r="C104" s="19" t="s">
        <v>538</v>
      </c>
      <c r="D104" s="19" t="s">
        <v>35</v>
      </c>
      <c r="E104" s="19" t="s">
        <v>1470</v>
      </c>
      <c r="F104" s="19" t="s">
        <v>32</v>
      </c>
      <c r="G104" s="19" t="s">
        <v>32</v>
      </c>
      <c r="H104" s="17">
        <v>10139.0</v>
      </c>
      <c r="I104" s="19" t="s">
        <v>1181</v>
      </c>
      <c r="J104" s="19" t="s">
        <v>32</v>
      </c>
      <c r="K104" s="19" t="s">
        <v>32</v>
      </c>
      <c r="L104" s="17">
        <v>6229.0</v>
      </c>
      <c r="M104" s="19" t="str">
        <f t="shared" si="1"/>
        <v>Same</v>
      </c>
      <c r="N104" s="19" t="str">
        <f t="shared" si="2"/>
        <v>Same</v>
      </c>
      <c r="O104" s="22" t="str">
        <f t="shared" si="3"/>
        <v>Same</v>
      </c>
      <c r="P104" s="24" t="str">
        <f t="shared" si="4"/>
        <v>AAP → AAP → AAP → AAP</v>
      </c>
      <c r="Q104" s="24"/>
      <c r="R104" s="24"/>
      <c r="S104" s="24"/>
      <c r="T104" s="24"/>
      <c r="U104" s="24"/>
      <c r="V104" s="24"/>
      <c r="W104" s="24"/>
      <c r="X104" s="24"/>
    </row>
    <row r="105">
      <c r="A105" s="17">
        <v>103.0</v>
      </c>
      <c r="B105" s="19" t="s">
        <v>538</v>
      </c>
      <c r="C105" s="19" t="s">
        <v>538</v>
      </c>
      <c r="D105" s="19" t="s">
        <v>35</v>
      </c>
      <c r="E105" s="19" t="s">
        <v>1472</v>
      </c>
      <c r="F105" s="19" t="s">
        <v>32</v>
      </c>
      <c r="G105" s="19" t="s">
        <v>32</v>
      </c>
      <c r="H105" s="17">
        <v>5423.0</v>
      </c>
      <c r="I105" s="19" t="s">
        <v>1374</v>
      </c>
      <c r="J105" s="19" t="s">
        <v>32</v>
      </c>
      <c r="K105" s="19" t="s">
        <v>32</v>
      </c>
      <c r="L105" s="17">
        <v>15513.0</v>
      </c>
      <c r="M105" s="19" t="str">
        <f t="shared" si="1"/>
        <v>Same</v>
      </c>
      <c r="N105" s="19" t="str">
        <f t="shared" si="2"/>
        <v>Same</v>
      </c>
      <c r="O105" s="22" t="str">
        <f t="shared" si="3"/>
        <v>Same</v>
      </c>
      <c r="P105" s="24" t="str">
        <f t="shared" si="4"/>
        <v>AAP → AAP → AAP → AAP</v>
      </c>
      <c r="Q105" s="24"/>
      <c r="R105" s="24"/>
      <c r="S105" s="24"/>
      <c r="T105" s="24"/>
      <c r="U105" s="24"/>
      <c r="V105" s="24"/>
      <c r="W105" s="24"/>
      <c r="X105" s="24"/>
    </row>
    <row r="106">
      <c r="A106" s="17">
        <v>104.0</v>
      </c>
      <c r="B106" s="19" t="s">
        <v>540</v>
      </c>
      <c r="C106" s="19" t="s">
        <v>538</v>
      </c>
      <c r="D106" s="19" t="s">
        <v>35</v>
      </c>
      <c r="E106" s="19" t="s">
        <v>1224</v>
      </c>
      <c r="F106" s="19" t="s">
        <v>32</v>
      </c>
      <c r="G106" s="19" t="s">
        <v>32</v>
      </c>
      <c r="H106" s="17">
        <v>7721.0</v>
      </c>
      <c r="I106" s="19" t="s">
        <v>1224</v>
      </c>
      <c r="J106" s="19" t="s">
        <v>32</v>
      </c>
      <c r="K106" s="19" t="s">
        <v>32</v>
      </c>
      <c r="L106" s="17">
        <v>12015.0</v>
      </c>
      <c r="M106" s="19" t="str">
        <f t="shared" si="1"/>
        <v>Same</v>
      </c>
      <c r="N106" s="19" t="str">
        <f t="shared" si="2"/>
        <v>Same</v>
      </c>
      <c r="O106" s="22" t="str">
        <f t="shared" si="3"/>
        <v>Same</v>
      </c>
      <c r="P106" s="24" t="str">
        <f t="shared" si="4"/>
        <v>AAP → AAP → AAP → AAP</v>
      </c>
      <c r="Q106" s="24"/>
      <c r="R106" s="24"/>
      <c r="S106" s="24"/>
      <c r="T106" s="24"/>
      <c r="U106" s="24"/>
      <c r="V106" s="24"/>
      <c r="W106" s="24"/>
      <c r="X106" s="24"/>
    </row>
    <row r="107">
      <c r="A107" s="17">
        <v>105.0</v>
      </c>
      <c r="B107" s="19" t="s">
        <v>542</v>
      </c>
      <c r="C107" s="19" t="s">
        <v>542</v>
      </c>
      <c r="D107" s="19" t="s">
        <v>35</v>
      </c>
      <c r="E107" s="19" t="s">
        <v>1380</v>
      </c>
      <c r="F107" s="19" t="s">
        <v>45</v>
      </c>
      <c r="G107" s="19" t="s">
        <v>45</v>
      </c>
      <c r="H107" s="17">
        <v>12476.0</v>
      </c>
      <c r="I107" s="19" t="s">
        <v>1239</v>
      </c>
      <c r="J107" s="19" t="s">
        <v>32</v>
      </c>
      <c r="K107" s="19" t="s">
        <v>45</v>
      </c>
      <c r="L107" s="17">
        <v>11654.0</v>
      </c>
      <c r="M107" s="19" t="str">
        <f t="shared" si="1"/>
        <v>Same</v>
      </c>
      <c r="N107" s="19" t="str">
        <f t="shared" si="2"/>
        <v>INC → AAP</v>
      </c>
      <c r="O107" s="22" t="str">
        <f t="shared" si="3"/>
        <v>AAP → INC</v>
      </c>
      <c r="P107" s="24" t="str">
        <f t="shared" si="4"/>
        <v>INC → INC → AAP → INC</v>
      </c>
      <c r="Q107" s="24"/>
      <c r="R107" s="24"/>
      <c r="S107" s="24"/>
      <c r="T107" s="24"/>
      <c r="U107" s="24"/>
      <c r="V107" s="24"/>
      <c r="W107" s="24"/>
      <c r="X107" s="24"/>
    </row>
    <row r="108">
      <c r="A108" s="17">
        <v>106.0</v>
      </c>
      <c r="B108" s="19" t="s">
        <v>543</v>
      </c>
      <c r="C108" s="19" t="s">
        <v>542</v>
      </c>
      <c r="D108" s="19" t="s">
        <v>35</v>
      </c>
      <c r="E108" s="19" t="s">
        <v>1476</v>
      </c>
      <c r="F108" s="19" t="s">
        <v>45</v>
      </c>
      <c r="G108" s="19" t="s">
        <v>45</v>
      </c>
      <c r="H108" s="17">
        <v>6870.0</v>
      </c>
      <c r="I108" s="19" t="s">
        <v>1256</v>
      </c>
      <c r="J108" s="19" t="s">
        <v>32</v>
      </c>
      <c r="K108" s="19" t="s">
        <v>32</v>
      </c>
      <c r="L108" s="17">
        <v>2945.0</v>
      </c>
      <c r="M108" s="19" t="str">
        <f t="shared" si="1"/>
        <v>Same</v>
      </c>
      <c r="N108" s="19" t="str">
        <f t="shared" si="2"/>
        <v>INC → AAP</v>
      </c>
      <c r="O108" s="22" t="str">
        <f t="shared" si="3"/>
        <v>Same</v>
      </c>
      <c r="P108" s="24" t="str">
        <f t="shared" si="4"/>
        <v>INC → INC → AAP → AAP</v>
      </c>
      <c r="Q108" s="24"/>
      <c r="R108" s="24"/>
      <c r="S108" s="24"/>
      <c r="T108" s="24"/>
      <c r="U108" s="24"/>
      <c r="V108" s="24"/>
      <c r="W108" s="24"/>
      <c r="X108" s="24"/>
    </row>
    <row r="109">
      <c r="A109" s="17">
        <v>107.0</v>
      </c>
      <c r="B109" s="19" t="s">
        <v>544</v>
      </c>
      <c r="C109" s="19" t="s">
        <v>545</v>
      </c>
      <c r="D109" s="19" t="s">
        <v>35</v>
      </c>
      <c r="E109" s="19" t="s">
        <v>1385</v>
      </c>
      <c r="F109" s="19" t="s">
        <v>45</v>
      </c>
      <c r="G109" s="19" t="s">
        <v>32</v>
      </c>
      <c r="H109" s="17">
        <v>24071.0</v>
      </c>
      <c r="I109" s="19" t="s">
        <v>1287</v>
      </c>
      <c r="J109" s="19" t="s">
        <v>32</v>
      </c>
      <c r="K109" s="19" t="s">
        <v>32</v>
      </c>
      <c r="L109" s="17">
        <v>32282.0</v>
      </c>
      <c r="M109" s="19" t="str">
        <f t="shared" si="1"/>
        <v>INC → AAP</v>
      </c>
      <c r="N109" s="19" t="str">
        <f t="shared" si="2"/>
        <v>Same</v>
      </c>
      <c r="O109" s="22" t="str">
        <f t="shared" si="3"/>
        <v>Same</v>
      </c>
      <c r="P109" s="24" t="str">
        <f t="shared" si="4"/>
        <v>INC → AAP → AAP → AAP</v>
      </c>
      <c r="Q109" s="24"/>
      <c r="R109" s="24"/>
      <c r="S109" s="24"/>
      <c r="T109" s="24"/>
      <c r="U109" s="24"/>
      <c r="V109" s="24"/>
      <c r="W109" s="24"/>
      <c r="X109" s="24"/>
    </row>
    <row r="110">
      <c r="A110" s="17">
        <v>108.0</v>
      </c>
      <c r="B110" s="19" t="s">
        <v>545</v>
      </c>
      <c r="C110" s="19" t="s">
        <v>545</v>
      </c>
      <c r="D110" s="19" t="s">
        <v>35</v>
      </c>
      <c r="E110" s="19" t="s">
        <v>1387</v>
      </c>
      <c r="F110" s="19" t="s">
        <v>45</v>
      </c>
      <c r="G110" s="19" t="s">
        <v>32</v>
      </c>
      <c r="H110" s="17">
        <v>18843.0</v>
      </c>
      <c r="I110" s="19" t="s">
        <v>1319</v>
      </c>
      <c r="J110" s="19" t="s">
        <v>32</v>
      </c>
      <c r="K110" s="19" t="s">
        <v>32</v>
      </c>
      <c r="L110" s="17">
        <v>8662.0</v>
      </c>
      <c r="M110" s="19" t="str">
        <f t="shared" si="1"/>
        <v>INC → AAP</v>
      </c>
      <c r="N110" s="19" t="str">
        <f t="shared" si="2"/>
        <v>Same</v>
      </c>
      <c r="O110" s="22" t="str">
        <f t="shared" si="3"/>
        <v>Same</v>
      </c>
      <c r="P110" s="24" t="str">
        <f t="shared" si="4"/>
        <v>INC → AAP → AAP → AAP</v>
      </c>
      <c r="Q110" s="24"/>
      <c r="R110" s="24"/>
      <c r="S110" s="24"/>
      <c r="T110" s="24"/>
      <c r="U110" s="24"/>
      <c r="V110" s="24"/>
      <c r="W110" s="24"/>
      <c r="X110" s="24"/>
    </row>
    <row r="111">
      <c r="A111" s="17">
        <v>109.0</v>
      </c>
      <c r="B111" s="19" t="s">
        <v>547</v>
      </c>
      <c r="C111" s="19" t="s">
        <v>555</v>
      </c>
      <c r="D111" s="19" t="s">
        <v>35</v>
      </c>
      <c r="E111" s="19" t="s">
        <v>1480</v>
      </c>
      <c r="F111" s="19" t="s">
        <v>45</v>
      </c>
      <c r="G111" s="19" t="s">
        <v>45</v>
      </c>
      <c r="H111" s="17">
        <v>17207.0</v>
      </c>
      <c r="I111" s="19" t="s">
        <v>1347</v>
      </c>
      <c r="J111" s="19" t="s">
        <v>32</v>
      </c>
      <c r="K111" s="19" t="s">
        <v>45</v>
      </c>
      <c r="L111" s="17">
        <v>3653.0</v>
      </c>
      <c r="M111" s="19" t="str">
        <f t="shared" si="1"/>
        <v>Same</v>
      </c>
      <c r="N111" s="19" t="str">
        <f t="shared" si="2"/>
        <v>INC → AAP</v>
      </c>
      <c r="O111" s="22" t="str">
        <f t="shared" si="3"/>
        <v>AAP → INC</v>
      </c>
      <c r="P111" s="24" t="str">
        <f t="shared" si="4"/>
        <v>INC → INC → AAP → INC</v>
      </c>
      <c r="Q111" s="24"/>
      <c r="R111" s="24"/>
      <c r="S111" s="24"/>
      <c r="T111" s="24"/>
      <c r="U111" s="24"/>
      <c r="V111" s="24"/>
      <c r="W111" s="24"/>
      <c r="X111" s="24"/>
    </row>
    <row r="112">
      <c r="A112" s="17">
        <v>110.0</v>
      </c>
      <c r="B112" s="19" t="s">
        <v>548</v>
      </c>
      <c r="C112" s="19" t="s">
        <v>555</v>
      </c>
      <c r="D112" s="19" t="s">
        <v>35</v>
      </c>
      <c r="E112" s="19" t="s">
        <v>1482</v>
      </c>
      <c r="F112" s="19" t="s">
        <v>45</v>
      </c>
      <c r="G112" s="19" t="s">
        <v>45</v>
      </c>
      <c r="H112" s="17">
        <v>30560.0</v>
      </c>
      <c r="I112" s="19" t="s">
        <v>1381</v>
      </c>
      <c r="J112" s="19" t="s">
        <v>32</v>
      </c>
      <c r="K112" s="19" t="s">
        <v>32</v>
      </c>
      <c r="L112" s="17">
        <v>2461.0</v>
      </c>
      <c r="M112" s="19" t="str">
        <f t="shared" si="1"/>
        <v>Same</v>
      </c>
      <c r="N112" s="19" t="str">
        <f t="shared" si="2"/>
        <v>INC → AAP</v>
      </c>
      <c r="O112" s="22" t="str">
        <f t="shared" si="3"/>
        <v>Same</v>
      </c>
      <c r="P112" s="24" t="str">
        <f t="shared" si="4"/>
        <v>INC → INC → AAP → AAP</v>
      </c>
      <c r="Q112" s="24"/>
      <c r="R112" s="24"/>
      <c r="S112" s="24"/>
      <c r="T112" s="24"/>
      <c r="U112" s="24"/>
      <c r="V112" s="24"/>
      <c r="W112" s="24"/>
      <c r="X112" s="24"/>
    </row>
    <row r="113">
      <c r="A113" s="17">
        <v>111.0</v>
      </c>
      <c r="B113" s="19" t="s">
        <v>549</v>
      </c>
      <c r="C113" s="19" t="s">
        <v>555</v>
      </c>
      <c r="D113" s="19" t="s">
        <v>35</v>
      </c>
      <c r="E113" s="19" t="s">
        <v>1484</v>
      </c>
      <c r="F113" s="19" t="s">
        <v>45</v>
      </c>
      <c r="G113" s="19" t="s">
        <v>45</v>
      </c>
      <c r="H113" s="17">
        <v>7306.0</v>
      </c>
      <c r="I113" s="19" t="s">
        <v>1392</v>
      </c>
      <c r="J113" s="19" t="s">
        <v>32</v>
      </c>
      <c r="K113" s="19" t="s">
        <v>53</v>
      </c>
      <c r="L113" s="17">
        <v>5308.0</v>
      </c>
      <c r="M113" s="19" t="str">
        <f t="shared" si="1"/>
        <v>Same</v>
      </c>
      <c r="N113" s="19" t="str">
        <f t="shared" si="2"/>
        <v>INC → AAP</v>
      </c>
      <c r="O113" s="22" t="str">
        <f t="shared" si="3"/>
        <v>AAP → BJP</v>
      </c>
      <c r="P113" s="24" t="str">
        <f t="shared" si="4"/>
        <v>INC → INC → AAP → BJP</v>
      </c>
      <c r="Q113" s="24"/>
      <c r="R113" s="24"/>
      <c r="S113" s="24"/>
      <c r="T113" s="24"/>
      <c r="U113" s="24"/>
      <c r="V113" s="24"/>
      <c r="W113" s="24"/>
      <c r="X113" s="24"/>
    </row>
    <row r="114">
      <c r="A114" s="17">
        <v>112.0</v>
      </c>
      <c r="B114" s="19" t="s">
        <v>551</v>
      </c>
      <c r="C114" s="19" t="s">
        <v>472</v>
      </c>
      <c r="D114" s="19" t="s">
        <v>35</v>
      </c>
      <c r="E114" s="19" t="s">
        <v>1486</v>
      </c>
      <c r="F114" s="19" t="s">
        <v>51</v>
      </c>
      <c r="G114" s="19" t="s">
        <v>51</v>
      </c>
      <c r="H114" s="17">
        <v>17050.0</v>
      </c>
      <c r="I114" s="19" t="s">
        <v>1396</v>
      </c>
      <c r="J114" s="19" t="s">
        <v>32</v>
      </c>
      <c r="K114" s="19" t="s">
        <v>53</v>
      </c>
      <c r="L114" s="17">
        <v>19121.0</v>
      </c>
      <c r="M114" s="19" t="str">
        <f t="shared" si="1"/>
        <v>Same</v>
      </c>
      <c r="N114" s="19" t="str">
        <f t="shared" si="2"/>
        <v>SAD → AAP</v>
      </c>
      <c r="O114" s="22" t="str">
        <f t="shared" si="3"/>
        <v>AAP → BJP</v>
      </c>
      <c r="P114" s="24" t="str">
        <f t="shared" si="4"/>
        <v>SAD → SAD → AAP → BJP</v>
      </c>
      <c r="Q114" s="24"/>
      <c r="R114" s="24"/>
      <c r="S114" s="24"/>
      <c r="T114" s="24"/>
      <c r="U114" s="24"/>
      <c r="V114" s="24"/>
      <c r="W114" s="24"/>
      <c r="X114" s="24"/>
    </row>
    <row r="115">
      <c r="A115" s="17">
        <v>113.0</v>
      </c>
      <c r="B115" s="19" t="s">
        <v>553</v>
      </c>
      <c r="C115" s="19" t="s">
        <v>555</v>
      </c>
      <c r="D115" s="19" t="s">
        <v>35</v>
      </c>
      <c r="E115" s="19" t="s">
        <v>1488</v>
      </c>
      <c r="F115" s="19" t="s">
        <v>45</v>
      </c>
      <c r="G115" s="19" t="s">
        <v>45</v>
      </c>
      <c r="H115" s="17">
        <v>19550.0</v>
      </c>
      <c r="I115" s="19" t="s">
        <v>1400</v>
      </c>
      <c r="J115" s="19" t="s">
        <v>32</v>
      </c>
      <c r="K115" s="19" t="s">
        <v>45</v>
      </c>
      <c r="L115" s="17">
        <v>9090.0</v>
      </c>
      <c r="M115" s="19" t="str">
        <f t="shared" si="1"/>
        <v>Same</v>
      </c>
      <c r="N115" s="19" t="str">
        <f t="shared" si="2"/>
        <v>INC → AAP</v>
      </c>
      <c r="O115" s="22" t="str">
        <f t="shared" si="3"/>
        <v>AAP → INC</v>
      </c>
      <c r="P115" s="24" t="str">
        <f t="shared" si="4"/>
        <v>INC → INC → AAP → INC</v>
      </c>
      <c r="Q115" s="24"/>
      <c r="R115" s="24"/>
      <c r="S115" s="24"/>
      <c r="T115" s="24"/>
      <c r="U115" s="24"/>
      <c r="V115" s="24"/>
      <c r="W115" s="24"/>
      <c r="X115" s="24"/>
    </row>
    <row r="116">
      <c r="A116" s="17">
        <v>114.0</v>
      </c>
      <c r="B116" s="19" t="s">
        <v>554</v>
      </c>
      <c r="C116" s="19" t="s">
        <v>555</v>
      </c>
      <c r="D116" s="19" t="s">
        <v>35</v>
      </c>
      <c r="E116" s="19" t="s">
        <v>1405</v>
      </c>
      <c r="F116" s="19" t="s">
        <v>51</v>
      </c>
      <c r="G116" s="19" t="s">
        <v>45</v>
      </c>
      <c r="H116" s="17">
        <v>41976.0</v>
      </c>
      <c r="I116" s="19" t="s">
        <v>1404</v>
      </c>
      <c r="J116" s="19" t="s">
        <v>32</v>
      </c>
      <c r="K116" s="19" t="s">
        <v>32</v>
      </c>
      <c r="L116" s="17">
        <v>5202.0</v>
      </c>
      <c r="M116" s="19" t="str">
        <f t="shared" si="1"/>
        <v>SAD → INC</v>
      </c>
      <c r="N116" s="19" t="str">
        <f t="shared" si="2"/>
        <v>INC → AAP</v>
      </c>
      <c r="O116" s="22" t="str">
        <f t="shared" si="3"/>
        <v>Same</v>
      </c>
      <c r="P116" s="24" t="str">
        <f t="shared" si="4"/>
        <v>SAD → INC → AAP → AAP</v>
      </c>
      <c r="Q116" s="24"/>
      <c r="R116" s="24"/>
      <c r="S116" s="24"/>
      <c r="T116" s="24"/>
      <c r="U116" s="24"/>
      <c r="V116" s="24"/>
      <c r="W116" s="24"/>
      <c r="X116" s="24"/>
    </row>
    <row r="117">
      <c r="A117" s="17">
        <v>115.0</v>
      </c>
      <c r="B117" s="19" t="s">
        <v>555</v>
      </c>
      <c r="C117" s="19" t="s">
        <v>555</v>
      </c>
      <c r="D117" s="19" t="s">
        <v>35</v>
      </c>
      <c r="E117" s="19" t="s">
        <v>1407</v>
      </c>
      <c r="F117" s="19" t="s">
        <v>45</v>
      </c>
      <c r="G117" s="19" t="s">
        <v>45</v>
      </c>
      <c r="H117" s="17">
        <v>35489.0</v>
      </c>
      <c r="I117" s="19" t="s">
        <v>1406</v>
      </c>
      <c r="J117" s="19" t="s">
        <v>32</v>
      </c>
      <c r="K117" s="19" t="s">
        <v>53</v>
      </c>
      <c r="L117" s="17">
        <v>18513.0</v>
      </c>
      <c r="M117" s="19" t="str">
        <f t="shared" si="1"/>
        <v>Same</v>
      </c>
      <c r="N117" s="19" t="str">
        <f t="shared" si="2"/>
        <v>INC → AAP</v>
      </c>
      <c r="O117" s="22" t="str">
        <f t="shared" si="3"/>
        <v>AAP → BJP</v>
      </c>
      <c r="P117" s="24" t="str">
        <f t="shared" si="4"/>
        <v>INC → INC → AAP → BJP</v>
      </c>
      <c r="Q117" s="24"/>
      <c r="R117" s="24"/>
      <c r="S117" s="24"/>
      <c r="T117" s="24"/>
      <c r="U117" s="24"/>
      <c r="V117" s="24"/>
      <c r="W117" s="24"/>
      <c r="X117" s="24"/>
    </row>
    <row r="118">
      <c r="A118" s="17">
        <v>116.0</v>
      </c>
      <c r="B118" s="19" t="s">
        <v>557</v>
      </c>
      <c r="C118" s="19" t="s">
        <v>555</v>
      </c>
      <c r="D118" s="19" t="s">
        <v>35</v>
      </c>
      <c r="E118" s="19" t="s">
        <v>1491</v>
      </c>
      <c r="F118" s="19" t="s">
        <v>45</v>
      </c>
      <c r="G118" s="19" t="s">
        <v>45</v>
      </c>
      <c r="H118" s="17">
        <v>5900.0</v>
      </c>
      <c r="I118" s="19" t="s">
        <v>1408</v>
      </c>
      <c r="J118" s="19" t="s">
        <v>32</v>
      </c>
      <c r="K118" s="19" t="s">
        <v>32</v>
      </c>
      <c r="L118" s="17">
        <v>7204.0</v>
      </c>
      <c r="M118" s="19" t="str">
        <f t="shared" si="1"/>
        <v>Same</v>
      </c>
      <c r="N118" s="19" t="str">
        <f t="shared" si="2"/>
        <v>INC → AAP</v>
      </c>
      <c r="O118" s="22" t="str">
        <f t="shared" si="3"/>
        <v>Same</v>
      </c>
      <c r="P118" s="24" t="str">
        <f t="shared" si="4"/>
        <v>INC → INC → AAP → AAP</v>
      </c>
      <c r="Q118" s="24"/>
      <c r="R118" s="24"/>
      <c r="S118" s="24"/>
      <c r="T118" s="24"/>
      <c r="U118" s="24"/>
      <c r="V118" s="24"/>
      <c r="W118" s="24"/>
      <c r="X118" s="24"/>
    </row>
    <row r="119">
      <c r="A119" s="17">
        <v>117.0</v>
      </c>
      <c r="B119" s="19" t="s">
        <v>559</v>
      </c>
      <c r="C119" s="19" t="s">
        <v>555</v>
      </c>
      <c r="D119" s="19" t="s">
        <v>35</v>
      </c>
      <c r="E119" s="19" t="s">
        <v>1492</v>
      </c>
      <c r="F119" s="19" t="s">
        <v>45</v>
      </c>
      <c r="G119" s="19" t="s">
        <v>45</v>
      </c>
      <c r="H119" s="17">
        <v>21702.0</v>
      </c>
      <c r="I119" s="19" t="s">
        <v>1410</v>
      </c>
      <c r="J119" s="19" t="s">
        <v>32</v>
      </c>
      <c r="K119" s="19" t="s">
        <v>32</v>
      </c>
      <c r="L119" s="17">
        <v>5146.0</v>
      </c>
      <c r="M119" s="19" t="str">
        <f t="shared" si="1"/>
        <v>Same</v>
      </c>
      <c r="N119" s="19" t="str">
        <f t="shared" si="2"/>
        <v>INC → AAP</v>
      </c>
      <c r="O119" s="22" t="str">
        <f t="shared" si="3"/>
        <v>Same</v>
      </c>
      <c r="P119" s="24" t="str">
        <f t="shared" si="4"/>
        <v>INC → INC → AAP → AAP</v>
      </c>
      <c r="Q119" s="24"/>
      <c r="R119" s="24"/>
      <c r="S119" s="24"/>
      <c r="T119" s="24"/>
      <c r="U119" s="24"/>
      <c r="V119" s="24"/>
      <c r="W119" s="24"/>
      <c r="X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</row>
    <row r="125">
      <c r="A125" s="143" t="s">
        <v>1538</v>
      </c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</row>
  </sheetData>
  <drawing r:id="rId1"/>
</worksheet>
</file>